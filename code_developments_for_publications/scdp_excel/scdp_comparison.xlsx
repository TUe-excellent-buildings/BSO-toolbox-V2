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X:\BSO-toolbox-V2\code_developments_for_publications\scdp_excel\"/>
    </mc:Choice>
  </mc:AlternateContent>
  <xr:revisionPtr revIDLastSave="0" documentId="13_ncr:1_{C37D022A-FB98-4F7D-A340-5EF99AAF63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chart.v1.0" hidden="1">Sheet1!$AI$3</definedName>
    <definedName name="_xlchart.v1.1" hidden="1">Sheet1!$AI$4:$AI$25</definedName>
    <definedName name="_xlchart.v1.10" hidden="1">Sheet1!$BH$3</definedName>
    <definedName name="_xlchart.v1.100" hidden="1">Sheet1!$CQ$3</definedName>
    <definedName name="_xlchart.v1.101" hidden="1">Sheet1!$CQ$4:$CQ$25</definedName>
    <definedName name="_xlchart.v1.102" hidden="1">Sheet1!$CR$3</definedName>
    <definedName name="_xlchart.v1.103" hidden="1">Sheet1!$CR$4:$CR$25</definedName>
    <definedName name="_xlchart.v1.104" hidden="1">Sheet1!$DC$3</definedName>
    <definedName name="_xlchart.v1.105" hidden="1">Sheet1!$DC$4:$DC$25</definedName>
    <definedName name="_xlchart.v1.106" hidden="1">Sheet1!$DD$3</definedName>
    <definedName name="_xlchart.v1.107" hidden="1">Sheet1!$DD$4:$DD$25</definedName>
    <definedName name="_xlchart.v1.108" hidden="1">Sheet1!$DO$3</definedName>
    <definedName name="_xlchart.v1.109" hidden="1">Sheet1!$DO$4:$DO$25</definedName>
    <definedName name="_xlchart.v1.11" hidden="1">Sheet1!$BH$4:$BH$25</definedName>
    <definedName name="_xlchart.v1.110" hidden="1">Sheet1!$DP$3</definedName>
    <definedName name="_xlchart.v1.111" hidden="1">Sheet1!$DP$4:$DP$25</definedName>
    <definedName name="_xlchart.v1.112" hidden="1">Sheet1!$EA$3:$EB$3</definedName>
    <definedName name="_xlchart.v1.113" hidden="1">Sheet1!$EA$4:$EA$25</definedName>
    <definedName name="_xlchart.v1.114" hidden="1">Sheet1!$EB$3</definedName>
    <definedName name="_xlchart.v1.115" hidden="1">Sheet1!$EB$4:$EB$25</definedName>
    <definedName name="_xlchart.v1.116" hidden="1">Sheet1!$EM$3</definedName>
    <definedName name="_xlchart.v1.117" hidden="1">Sheet1!$EM$4:$EM$25</definedName>
    <definedName name="_xlchart.v1.118" hidden="1">Sheet1!$EN$3</definedName>
    <definedName name="_xlchart.v1.119" hidden="1">Sheet1!$EN$4:$EN$25</definedName>
    <definedName name="_xlchart.v1.12" hidden="1">Sheet1!$BS$3</definedName>
    <definedName name="_xlchart.v1.120" hidden="1">Sheet1!$EY$3</definedName>
    <definedName name="_xlchart.v1.121" hidden="1">Sheet1!$EY$4:$EY$25</definedName>
    <definedName name="_xlchart.v1.122" hidden="1">Sheet1!$EZ$3</definedName>
    <definedName name="_xlchart.v1.123" hidden="1">Sheet1!$EZ$4:$EZ$25</definedName>
    <definedName name="_xlchart.v1.124" hidden="1">Sheet1!$U$3</definedName>
    <definedName name="_xlchart.v1.125" hidden="1">Sheet1!$U$4:$U$25</definedName>
    <definedName name="_xlchart.v1.126" hidden="1">Sheet1!$V$3</definedName>
    <definedName name="_xlchart.v1.127" hidden="1">Sheet1!$V$4:$V$25</definedName>
    <definedName name="_xlchart.v1.128" hidden="1">Sheet1!$AI$3</definedName>
    <definedName name="_xlchart.v1.129" hidden="1">Sheet1!$AI$4:$AI$25</definedName>
    <definedName name="_xlchart.v1.13" hidden="1">Sheet1!$BS$4:$BS$25</definedName>
    <definedName name="_xlchart.v1.130" hidden="1">Sheet1!$AJ$3</definedName>
    <definedName name="_xlchart.v1.131" hidden="1">Sheet1!$AJ$4:$AJ$25</definedName>
    <definedName name="_xlchart.v1.132" hidden="1">Sheet1!$AU$3</definedName>
    <definedName name="_xlchart.v1.133" hidden="1">Sheet1!$AU$4:$AU$25</definedName>
    <definedName name="_xlchart.v1.134" hidden="1">Sheet1!$AV$3</definedName>
    <definedName name="_xlchart.v1.135" hidden="1">Sheet1!$AV$4:$AV$25</definedName>
    <definedName name="_xlchart.v1.136" hidden="1">Sheet1!$BG$3</definedName>
    <definedName name="_xlchart.v1.137" hidden="1">Sheet1!$BG$4:$BG$25</definedName>
    <definedName name="_xlchart.v1.138" hidden="1">Sheet1!$BH$3</definedName>
    <definedName name="_xlchart.v1.139" hidden="1">Sheet1!$BH$4:$BH$25</definedName>
    <definedName name="_xlchart.v1.14" hidden="1">Sheet1!$BT$3</definedName>
    <definedName name="_xlchart.v1.140" hidden="1">Sheet1!$BS$3</definedName>
    <definedName name="_xlchart.v1.141" hidden="1">Sheet1!$BS$4:$BS$25</definedName>
    <definedName name="_xlchart.v1.142" hidden="1">Sheet1!$BT$3</definedName>
    <definedName name="_xlchart.v1.143" hidden="1">Sheet1!$BT$4:$BT$25</definedName>
    <definedName name="_xlchart.v1.144" hidden="1">Sheet1!$CE$3</definedName>
    <definedName name="_xlchart.v1.145" hidden="1">Sheet1!$CE$4:$CE$25</definedName>
    <definedName name="_xlchart.v1.146" hidden="1">Sheet1!$CF$3</definedName>
    <definedName name="_xlchart.v1.147" hidden="1">Sheet1!$CF$4:$CF$25</definedName>
    <definedName name="_xlchart.v1.148" hidden="1">Sheet1!$CQ$3</definedName>
    <definedName name="_xlchart.v1.149" hidden="1">Sheet1!$CQ$4:$CQ$25</definedName>
    <definedName name="_xlchart.v1.15" hidden="1">Sheet1!$BT$4:$BT$25</definedName>
    <definedName name="_xlchart.v1.150" hidden="1">Sheet1!$CR$3</definedName>
    <definedName name="_xlchart.v1.151" hidden="1">Sheet1!$CR$4:$CR$25</definedName>
    <definedName name="_xlchart.v1.152" hidden="1">Sheet1!$DC$3</definedName>
    <definedName name="_xlchart.v1.153" hidden="1">Sheet1!$DC$4:$DC$25</definedName>
    <definedName name="_xlchart.v1.154" hidden="1">Sheet1!$DD$3</definedName>
    <definedName name="_xlchart.v1.155" hidden="1">Sheet1!$DD$4:$DD$25</definedName>
    <definedName name="_xlchart.v1.156" hidden="1">Sheet1!$DO$3</definedName>
    <definedName name="_xlchart.v1.157" hidden="1">Sheet1!$DO$4:$DO$25</definedName>
    <definedName name="_xlchart.v1.158" hidden="1">Sheet1!$DP$3</definedName>
    <definedName name="_xlchart.v1.159" hidden="1">Sheet1!$DP$4:$DP$25</definedName>
    <definedName name="_xlchart.v1.16" hidden="1">Sheet1!$CE$3</definedName>
    <definedName name="_xlchart.v1.160" hidden="1">Sheet1!$EA$3:$EB$3</definedName>
    <definedName name="_xlchart.v1.161" hidden="1">Sheet1!$EA$4:$EA$25</definedName>
    <definedName name="_xlchart.v1.162" hidden="1">Sheet1!$EB$3</definedName>
    <definedName name="_xlchart.v1.163" hidden="1">Sheet1!$EB$4:$EB$25</definedName>
    <definedName name="_xlchart.v1.164" hidden="1">Sheet1!$EM$3</definedName>
    <definedName name="_xlchart.v1.165" hidden="1">Sheet1!$EM$4:$EM$25</definedName>
    <definedName name="_xlchart.v1.166" hidden="1">Sheet1!$EN$3</definedName>
    <definedName name="_xlchart.v1.167" hidden="1">Sheet1!$EN$4:$EN$25</definedName>
    <definedName name="_xlchart.v1.168" hidden="1">Sheet1!$EY$3</definedName>
    <definedName name="_xlchart.v1.169" hidden="1">Sheet1!$EY$4:$EY$25</definedName>
    <definedName name="_xlchart.v1.17" hidden="1">Sheet1!$CE$4:$CE$25</definedName>
    <definedName name="_xlchart.v1.170" hidden="1">Sheet1!$EZ$3</definedName>
    <definedName name="_xlchart.v1.171" hidden="1">Sheet1!$EZ$4:$EZ$25</definedName>
    <definedName name="_xlchart.v1.172" hidden="1">Sheet1!$U$3</definedName>
    <definedName name="_xlchart.v1.173" hidden="1">Sheet1!$U$4:$U$25</definedName>
    <definedName name="_xlchart.v1.174" hidden="1">Sheet1!$V$3</definedName>
    <definedName name="_xlchart.v1.175" hidden="1">Sheet1!$V$4:$V$25</definedName>
    <definedName name="_xlchart.v1.18" hidden="1">Sheet1!$CF$3</definedName>
    <definedName name="_xlchart.v1.19" hidden="1">Sheet1!$CF$4:$CF$25</definedName>
    <definedName name="_xlchart.v1.2" hidden="1">Sheet1!$AJ$3</definedName>
    <definedName name="_xlchart.v1.20" hidden="1">Sheet1!$CQ$3</definedName>
    <definedName name="_xlchart.v1.21" hidden="1">Sheet1!$CQ$4:$CQ$25</definedName>
    <definedName name="_xlchart.v1.22" hidden="1">Sheet1!$CR$3</definedName>
    <definedName name="_xlchart.v1.23" hidden="1">Sheet1!$CR$4:$CR$25</definedName>
    <definedName name="_xlchart.v1.24" hidden="1">Sheet1!$DC$3</definedName>
    <definedName name="_xlchart.v1.25" hidden="1">Sheet1!$DC$4:$DC$25</definedName>
    <definedName name="_xlchart.v1.26" hidden="1">Sheet1!$DD$3</definedName>
    <definedName name="_xlchart.v1.27" hidden="1">Sheet1!$DD$4:$DD$25</definedName>
    <definedName name="_xlchart.v1.28" hidden="1">Sheet1!$DO$3</definedName>
    <definedName name="_xlchart.v1.29" hidden="1">Sheet1!$DO$4:$DO$25</definedName>
    <definedName name="_xlchart.v1.3" hidden="1">Sheet1!$AJ$4:$AJ$25</definedName>
    <definedName name="_xlchart.v1.30" hidden="1">Sheet1!$DP$3</definedName>
    <definedName name="_xlchart.v1.31" hidden="1">Sheet1!$DP$4:$DP$25</definedName>
    <definedName name="_xlchart.v1.32" hidden="1">Sheet1!$EA$3:$EB$3</definedName>
    <definedName name="_xlchart.v1.33" hidden="1">Sheet1!$EA$4:$EA$25</definedName>
    <definedName name="_xlchart.v1.34" hidden="1">Sheet1!$EB$3</definedName>
    <definedName name="_xlchart.v1.35" hidden="1">Sheet1!$EB$4:$EB$25</definedName>
    <definedName name="_xlchart.v1.36" hidden="1">Sheet1!$EM$3</definedName>
    <definedName name="_xlchart.v1.37" hidden="1">Sheet1!$EM$4:$EM$25</definedName>
    <definedName name="_xlchart.v1.38" hidden="1">Sheet1!$EN$3</definedName>
    <definedName name="_xlchart.v1.39" hidden="1">Sheet1!$EN$4:$EN$25</definedName>
    <definedName name="_xlchart.v1.4" hidden="1">Sheet1!$AU$3</definedName>
    <definedName name="_xlchart.v1.40" hidden="1">Sheet1!$EY$3</definedName>
    <definedName name="_xlchart.v1.41" hidden="1">Sheet1!$EY$4:$EY$25</definedName>
    <definedName name="_xlchart.v1.42" hidden="1">Sheet1!$EZ$3</definedName>
    <definedName name="_xlchart.v1.43" hidden="1">Sheet1!$EZ$4:$EZ$25</definedName>
    <definedName name="_xlchart.v1.44" hidden="1">Sheet1!$U$3</definedName>
    <definedName name="_xlchart.v1.45" hidden="1">Sheet1!$U$4:$U$25</definedName>
    <definedName name="_xlchart.v1.46" hidden="1">Sheet1!$V$3</definedName>
    <definedName name="_xlchart.v1.47" hidden="1">Sheet1!$V$4:$V$25</definedName>
    <definedName name="_xlchart.v1.48" hidden="1">Sheet1!$BG$3</definedName>
    <definedName name="_xlchart.v1.49" hidden="1">Sheet1!$BG$4:$BG$25</definedName>
    <definedName name="_xlchart.v1.5" hidden="1">Sheet1!$AU$4:$AU$25</definedName>
    <definedName name="_xlchart.v1.50" hidden="1">Sheet1!$CQ$3</definedName>
    <definedName name="_xlchart.v1.51" hidden="1">Sheet1!$CQ$4:$CQ$25</definedName>
    <definedName name="_xlchart.v1.52" hidden="1">Sheet1!$EA$3</definedName>
    <definedName name="_xlchart.v1.53" hidden="1">Sheet1!$EA$4:$EA$25</definedName>
    <definedName name="_xlchart.v1.54" hidden="1">Sheet1!$U$3</definedName>
    <definedName name="_xlchart.v1.55" hidden="1">Sheet1!$U$4:$U$25</definedName>
    <definedName name="_xlchart.v1.56" hidden="1">Sheet1!$BE$3</definedName>
    <definedName name="_xlchart.v1.57" hidden="1">Sheet1!$BE$4:$BE$25</definedName>
    <definedName name="_xlchart.v1.58" hidden="1">Sheet1!$CO$3</definedName>
    <definedName name="_xlchart.v1.59" hidden="1">Sheet1!$CO$4:$CO$25</definedName>
    <definedName name="_xlchart.v1.6" hidden="1">Sheet1!$AV$3</definedName>
    <definedName name="_xlchart.v1.60" hidden="1">Sheet1!$DY$3</definedName>
    <definedName name="_xlchart.v1.61" hidden="1">Sheet1!$DY$4:$DY$25</definedName>
    <definedName name="_xlchart.v1.62" hidden="1">Sheet1!$S$3</definedName>
    <definedName name="_xlchart.v1.63" hidden="1">Sheet1!$S$4:$S$25</definedName>
    <definedName name="_xlchart.v1.64" hidden="1">Sheet1!$AH$3</definedName>
    <definedName name="_xlchart.v1.65" hidden="1">Sheet1!$AH$4:$AH$25</definedName>
    <definedName name="_xlchart.v1.66" hidden="1">Sheet1!$BR$3</definedName>
    <definedName name="_xlchart.v1.67" hidden="1">Sheet1!$BR$4:$BR$25</definedName>
    <definedName name="_xlchart.v1.68" hidden="1">Sheet1!$DB$3</definedName>
    <definedName name="_xlchart.v1.69" hidden="1">Sheet1!$DB$4:$DB$25</definedName>
    <definedName name="_xlchart.v1.7" hidden="1">Sheet1!$AV$4:$AV$25</definedName>
    <definedName name="_xlchart.v1.70" hidden="1">Sheet1!$EL$3</definedName>
    <definedName name="_xlchart.v1.71" hidden="1">Sheet1!$EL$4:$EL$25</definedName>
    <definedName name="_xlchart.v1.72" hidden="1">Sheet1!$AJ$3</definedName>
    <definedName name="_xlchart.v1.73" hidden="1">Sheet1!$AJ$4:$AJ$25</definedName>
    <definedName name="_xlchart.v1.74" hidden="1">Sheet1!$BT$3</definedName>
    <definedName name="_xlchart.v1.75" hidden="1">Sheet1!$BT$4:$BT$25</definedName>
    <definedName name="_xlchart.v1.76" hidden="1">Sheet1!$DD$3</definedName>
    <definedName name="_xlchart.v1.77" hidden="1">Sheet1!$DD$4:$DD$25</definedName>
    <definedName name="_xlchart.v1.78" hidden="1">Sheet1!$EN$3</definedName>
    <definedName name="_xlchart.v1.79" hidden="1">Sheet1!$EN$4:$EN$25</definedName>
    <definedName name="_xlchart.v1.8" hidden="1">Sheet1!$BG$3</definedName>
    <definedName name="_xlchart.v1.80" hidden="1">Sheet1!$AI$3</definedName>
    <definedName name="_xlchart.v1.81" hidden="1">Sheet1!$AI$4:$AI$25</definedName>
    <definedName name="_xlchart.v1.82" hidden="1">Sheet1!$AJ$3</definedName>
    <definedName name="_xlchart.v1.83" hidden="1">Sheet1!$AJ$4:$AJ$25</definedName>
    <definedName name="_xlchart.v1.84" hidden="1">Sheet1!$AU$3</definedName>
    <definedName name="_xlchart.v1.85" hidden="1">Sheet1!$AU$4:$AU$25</definedName>
    <definedName name="_xlchart.v1.86" hidden="1">Sheet1!$AV$3</definedName>
    <definedName name="_xlchart.v1.87" hidden="1">Sheet1!$AV$4:$AV$25</definedName>
    <definedName name="_xlchart.v1.88" hidden="1">Sheet1!$BG$3</definedName>
    <definedName name="_xlchart.v1.89" hidden="1">Sheet1!$BG$4:$BG$25</definedName>
    <definedName name="_xlchart.v1.9" hidden="1">Sheet1!$BG$4:$BG$25</definedName>
    <definedName name="_xlchart.v1.90" hidden="1">Sheet1!$BH$3</definedName>
    <definedName name="_xlchart.v1.91" hidden="1">Sheet1!$BH$4:$BH$25</definedName>
    <definedName name="_xlchart.v1.92" hidden="1">Sheet1!$BS$3</definedName>
    <definedName name="_xlchart.v1.93" hidden="1">Sheet1!$BS$4:$BS$25</definedName>
    <definedName name="_xlchart.v1.94" hidden="1">Sheet1!$BT$3</definedName>
    <definedName name="_xlchart.v1.95" hidden="1">Sheet1!$BT$4:$BT$25</definedName>
    <definedName name="_xlchart.v1.96" hidden="1">Sheet1!$CE$3</definedName>
    <definedName name="_xlchart.v1.97" hidden="1">Sheet1!$CE$4:$CE$25</definedName>
    <definedName name="_xlchart.v1.98" hidden="1">Sheet1!$CF$3</definedName>
    <definedName name="_xlchart.v1.99" hidden="1">Sheet1!$CF$4:$CF$25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L26" i="1" l="1"/>
  <c r="H46" i="1" s="1"/>
  <c r="GK26" i="1"/>
  <c r="G46" i="1" s="1"/>
  <c r="GJ26" i="1"/>
  <c r="F46" i="1" s="1"/>
  <c r="GI26" i="1"/>
  <c r="E46" i="1" s="1"/>
  <c r="GH26" i="1"/>
  <c r="D46" i="1" s="1"/>
  <c r="GG26" i="1"/>
  <c r="C46" i="1" s="1"/>
  <c r="FZ26" i="1"/>
  <c r="H45" i="1" s="1"/>
  <c r="FY26" i="1"/>
  <c r="G45" i="1" s="1"/>
  <c r="FX26" i="1"/>
  <c r="F45" i="1" s="1"/>
  <c r="FW26" i="1"/>
  <c r="E45" i="1" s="1"/>
  <c r="FV26" i="1"/>
  <c r="D45" i="1" s="1"/>
  <c r="FU26" i="1"/>
  <c r="C45" i="1" s="1"/>
  <c r="FN26" i="1"/>
  <c r="H44" i="1" s="1"/>
  <c r="FM26" i="1"/>
  <c r="G44" i="1" s="1"/>
  <c r="FL26" i="1"/>
  <c r="F44" i="1" s="1"/>
  <c r="FK26" i="1"/>
  <c r="E44" i="1" s="1"/>
  <c r="FJ26" i="1"/>
  <c r="D44" i="1" s="1"/>
  <c r="FI26" i="1"/>
  <c r="C44" i="1" s="1"/>
  <c r="EZ26" i="1"/>
  <c r="H43" i="1" s="1"/>
  <c r="EY26" i="1"/>
  <c r="G43" i="1" s="1"/>
  <c r="EX26" i="1"/>
  <c r="F43" i="1" s="1"/>
  <c r="EW26" i="1"/>
  <c r="E43" i="1" s="1"/>
  <c r="EV26" i="1"/>
  <c r="D43" i="1" s="1"/>
  <c r="EU26" i="1"/>
  <c r="C43" i="1" s="1"/>
  <c r="EN26" i="1"/>
  <c r="H42" i="1" s="1"/>
  <c r="EM26" i="1"/>
  <c r="G42" i="1" s="1"/>
  <c r="EL26" i="1"/>
  <c r="F42" i="1" s="1"/>
  <c r="EK26" i="1"/>
  <c r="E42" i="1" s="1"/>
  <c r="EJ26" i="1"/>
  <c r="D42" i="1" s="1"/>
  <c r="EI26" i="1"/>
  <c r="C42" i="1" s="1"/>
  <c r="EB26" i="1"/>
  <c r="H41" i="1" s="1"/>
  <c r="EA26" i="1"/>
  <c r="G41" i="1" s="1"/>
  <c r="DZ26" i="1"/>
  <c r="F41" i="1" s="1"/>
  <c r="DY26" i="1"/>
  <c r="E41" i="1" s="1"/>
  <c r="DX26" i="1"/>
  <c r="D41" i="1" s="1"/>
  <c r="DW26" i="1"/>
  <c r="C41" i="1" s="1"/>
  <c r="DP26" i="1"/>
  <c r="H40" i="1" s="1"/>
  <c r="DO26" i="1"/>
  <c r="G40" i="1" s="1"/>
  <c r="DN26" i="1"/>
  <c r="F40" i="1" s="1"/>
  <c r="DM26" i="1"/>
  <c r="E40" i="1" s="1"/>
  <c r="DL26" i="1"/>
  <c r="D40" i="1" s="1"/>
  <c r="DK26" i="1"/>
  <c r="C40" i="1" s="1"/>
  <c r="DD26" i="1"/>
  <c r="H39" i="1" s="1"/>
  <c r="DC26" i="1"/>
  <c r="G39" i="1" s="1"/>
  <c r="DB26" i="1"/>
  <c r="F39" i="1" s="1"/>
  <c r="DA26" i="1"/>
  <c r="E39" i="1" s="1"/>
  <c r="CZ26" i="1"/>
  <c r="D39" i="1" s="1"/>
  <c r="CY26" i="1"/>
  <c r="C39" i="1" s="1"/>
  <c r="CR26" i="1"/>
  <c r="CQ26" i="1"/>
  <c r="CP26" i="1"/>
  <c r="CO26" i="1"/>
  <c r="CN26" i="1"/>
  <c r="CM26" i="1"/>
  <c r="CF26" i="1"/>
  <c r="H37" i="1" s="1"/>
  <c r="CE26" i="1"/>
  <c r="G37" i="1" s="1"/>
  <c r="CD26" i="1"/>
  <c r="F37" i="1" s="1"/>
  <c r="CC26" i="1"/>
  <c r="E37" i="1" s="1"/>
  <c r="CB26" i="1"/>
  <c r="D37" i="1" s="1"/>
  <c r="CA26" i="1"/>
  <c r="C37" i="1" s="1"/>
  <c r="BT26" i="1"/>
  <c r="H36" i="1" s="1"/>
  <c r="BS26" i="1"/>
  <c r="G36" i="1" s="1"/>
  <c r="BR26" i="1"/>
  <c r="F36" i="1" s="1"/>
  <c r="BQ26" i="1"/>
  <c r="E36" i="1" s="1"/>
  <c r="BP26" i="1"/>
  <c r="D36" i="1" s="1"/>
  <c r="BO26" i="1"/>
  <c r="C36" i="1" s="1"/>
  <c r="BH26" i="1"/>
  <c r="H35" i="1" s="1"/>
  <c r="BG26" i="1"/>
  <c r="G35" i="1" s="1"/>
  <c r="BF26" i="1"/>
  <c r="F35" i="1" s="1"/>
  <c r="BE26" i="1"/>
  <c r="E38" i="1" s="1"/>
  <c r="BD26" i="1"/>
  <c r="D38" i="1" s="1"/>
  <c r="BC26" i="1"/>
  <c r="C35" i="1" s="1"/>
  <c r="AV26" i="1"/>
  <c r="H34" i="1" s="1"/>
  <c r="AU26" i="1"/>
  <c r="G34" i="1" s="1"/>
  <c r="AT26" i="1"/>
  <c r="F34" i="1" s="1"/>
  <c r="AS26" i="1"/>
  <c r="E34" i="1" s="1"/>
  <c r="AR26" i="1"/>
  <c r="D34" i="1" s="1"/>
  <c r="AQ26" i="1"/>
  <c r="C34" i="1" s="1"/>
  <c r="AJ26" i="1"/>
  <c r="H33" i="1" s="1"/>
  <c r="AI26" i="1"/>
  <c r="G33" i="1" s="1"/>
  <c r="AH26" i="1"/>
  <c r="F33" i="1" s="1"/>
  <c r="AG26" i="1"/>
  <c r="E33" i="1" s="1"/>
  <c r="AF26" i="1"/>
  <c r="D33" i="1" s="1"/>
  <c r="AE26" i="1"/>
  <c r="C33" i="1" s="1"/>
  <c r="R26" i="1"/>
  <c r="D32" i="1" s="1"/>
  <c r="S26" i="1"/>
  <c r="E32" i="1" s="1"/>
  <c r="T26" i="1"/>
  <c r="F32" i="1" s="1"/>
  <c r="U26" i="1"/>
  <c r="G32" i="1" s="1"/>
  <c r="V26" i="1"/>
  <c r="H32" i="1" s="1"/>
  <c r="Q26" i="1"/>
  <c r="C32" i="1" s="1"/>
  <c r="J35" i="1" l="1"/>
  <c r="K41" i="1"/>
  <c r="J44" i="1"/>
  <c r="K44" i="1"/>
  <c r="J41" i="1"/>
  <c r="H38" i="1"/>
  <c r="K38" i="1" s="1"/>
  <c r="F38" i="1"/>
  <c r="K35" i="1"/>
  <c r="K32" i="1"/>
  <c r="J32" i="1"/>
  <c r="G38" i="1"/>
  <c r="J38" i="1" s="1"/>
  <c r="C38" i="1"/>
  <c r="E35" i="1"/>
  <c r="D35" i="1"/>
</calcChain>
</file>

<file path=xl/sharedStrings.xml><?xml version="1.0" encoding="utf-8"?>
<sst xmlns="http://schemas.openxmlformats.org/spreadsheetml/2006/main" count="340" uniqueCount="99">
  <si>
    <t>best sd design in sd run</t>
  </si>
  <si>
    <t>best bp design in sd run</t>
  </si>
  <si>
    <t>Last design of sd run</t>
  </si>
  <si>
    <t>best bp design in bp run</t>
  </si>
  <si>
    <t>best sd design in bp run</t>
  </si>
  <si>
    <t>Last design of bp run</t>
  </si>
  <si>
    <t>best sd design in weighted run</t>
  </si>
  <si>
    <t>best bp design in weighted run</t>
  </si>
  <si>
    <t>Last design of weighted run</t>
  </si>
  <si>
    <t>sd</t>
  </si>
  <si>
    <t>bp</t>
  </si>
  <si>
    <t>sd best iteration</t>
  </si>
  <si>
    <t>bp best iteration</t>
  </si>
  <si>
    <t>sd improvement last vs. initial</t>
  </si>
  <si>
    <t>bp improvement last vs. initial</t>
  </si>
  <si>
    <t>sd improvement best vs. initial</t>
  </si>
  <si>
    <t>bp improvement best vs. initial</t>
  </si>
  <si>
    <t>design_1</t>
  </si>
  <si>
    <t>design_2</t>
  </si>
  <si>
    <t>design_3</t>
  </si>
  <si>
    <t>design_301</t>
  </si>
  <si>
    <t>design_302</t>
  </si>
  <si>
    <t>design_303</t>
  </si>
  <si>
    <t>design_304</t>
  </si>
  <si>
    <t>design_305</t>
  </si>
  <si>
    <t>design_308</t>
  </si>
  <si>
    <t>design_309</t>
  </si>
  <si>
    <t>design_311</t>
  </si>
  <si>
    <t>design_314</t>
  </si>
  <si>
    <t>design_316</t>
  </si>
  <si>
    <t>design_317</t>
  </si>
  <si>
    <t>design_325</t>
  </si>
  <si>
    <t>design_326</t>
  </si>
  <si>
    <t>design_327</t>
  </si>
  <si>
    <t>design_328</t>
  </si>
  <si>
    <t>design_329</t>
  </si>
  <si>
    <t>design_337</t>
  </si>
  <si>
    <t>design_344</t>
  </si>
  <si>
    <t>design_350</t>
  </si>
  <si>
    <t>Surface area division</t>
  </si>
  <si>
    <t>Designs</t>
  </si>
  <si>
    <t>Floor area</t>
  </si>
  <si>
    <t>Overhang</t>
  </si>
  <si>
    <t>Volume area division</t>
  </si>
  <si>
    <t>Floor area division</t>
  </si>
  <si>
    <t>Method</t>
  </si>
  <si>
    <t>run</t>
  </si>
  <si>
    <t>weighted</t>
  </si>
  <si>
    <t>Average</t>
  </si>
  <si>
    <t>No division</t>
  </si>
  <si>
    <t>Surface area division sd improvement sd run[%]</t>
  </si>
  <si>
    <t>Surface area division bp improvement sd run [%]</t>
  </si>
  <si>
    <t>Surface area division sd improvement bp run[%]</t>
  </si>
  <si>
    <t>Surface area division bp improvement bp run [%]</t>
  </si>
  <si>
    <t>Surface area division sd improvement weighted run[%]</t>
  </si>
  <si>
    <t>Surface area division bp improvement weighted run [%]</t>
  </si>
  <si>
    <t>Volume area division sd improvement weighted run[%]</t>
  </si>
  <si>
    <t>Volume area division bp improvement weighted run [%]</t>
  </si>
  <si>
    <t>Volume area division sd improvement sd run[%]</t>
  </si>
  <si>
    <t>Volume area division bp improvement sd run [%]</t>
  </si>
  <si>
    <t>Volume area division sd improvement bp run[%]</t>
  </si>
  <si>
    <t>Volume area division bp improvement bp run [%]</t>
  </si>
  <si>
    <t>Floor area division sd improvement sd run[%]</t>
  </si>
  <si>
    <t>Floor area division bp improvement sd run [%]</t>
  </si>
  <si>
    <t>Floor area division sd improvement bp run[%]</t>
  </si>
  <si>
    <t>Floor area division bp improvement bp run [%]</t>
  </si>
  <si>
    <t>Floor area division sd improvement weighted run[%]</t>
  </si>
  <si>
    <t>Floor area division bp improvement weighted run [%]</t>
  </si>
  <si>
    <t>No division sd improvement weighted run[%]</t>
  </si>
  <si>
    <t>No division bp improvement weighted run [%]</t>
  </si>
  <si>
    <t>No division sd improvement sd run[%]</t>
  </si>
  <si>
    <t>No division bp improvement sd run [%]</t>
  </si>
  <si>
    <t>No division sd improvement bp run[%]</t>
  </si>
  <si>
    <t>No division bp improvement bp run [%]</t>
  </si>
  <si>
    <t>Nr spaces</t>
  </si>
  <si>
    <t>Nr. Elevations</t>
  </si>
  <si>
    <t>Ratio bigest vs. smalest space</t>
  </si>
  <si>
    <t>Split level</t>
  </si>
  <si>
    <t>yes</t>
  </si>
  <si>
    <t>no</t>
  </si>
  <si>
    <t>Surface area division sd improvement last vs. initial [%]</t>
  </si>
  <si>
    <t>Surface area bp improvement last vs. initial [%]</t>
  </si>
  <si>
    <t>Volume area division sd improvement last vs. initial [%]</t>
  </si>
  <si>
    <t>Volume area divisoin bp improvement last vs. initial [%]</t>
  </si>
  <si>
    <t>Volume division sd improvement last vs. initial [%]</t>
  </si>
  <si>
    <t>Volume division bp improvement last vs. initial [%]</t>
  </si>
  <si>
    <t>Floor area division sd improvement last vs. initial [%]</t>
  </si>
  <si>
    <t>Floor area division bp improvement last vs. initial [%]</t>
  </si>
  <si>
    <t>no division sd improvement last vs. initial [%]</t>
  </si>
  <si>
    <t>no division bp improvement last vs. initial [%]</t>
  </si>
  <si>
    <t>No division sd improvement last vs. initial [%]</t>
  </si>
  <si>
    <t>No division bp improvement last vs. initial [%]</t>
  </si>
  <si>
    <t>Surface area division bp improvement last vs. initial [%]</t>
  </si>
  <si>
    <t>shiftfillplanecentre with shiftInMostHeadingDirection=false</t>
  </si>
  <si>
    <t>RecDif</t>
  </si>
  <si>
    <t>RecDif best design</t>
  </si>
  <si>
    <t>Ratio bigest vs. smalest space best design</t>
  </si>
  <si>
    <t>Sum up percentages of sd improvement per method</t>
  </si>
  <si>
    <t>Sum up percentages of bp improvement per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</si>
</sst>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3" fillId="0" borderId="2" xfId="0" applyFont="1" applyBorder="1"/>
    <xf numFmtId="0" fontId="1" fillId="0" borderId="2" xfId="0" applyFont="1" applyBorder="1" applyAlignment="1">
      <alignment wrapText="1"/>
    </xf>
    <xf numFmtId="164" fontId="0" fillId="0" borderId="2" xfId="0" quotePrefix="1" applyNumberFormat="1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2" xfId="0" applyFont="1" applyBorder="1"/>
    <xf numFmtId="164" fontId="1" fillId="0" borderId="0" xfId="0" applyNumberFormat="1" applyFont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6" xfId="0" applyFont="1" applyBorder="1" applyAlignment="1">
      <alignment wrapText="1"/>
    </xf>
    <xf numFmtId="164" fontId="0" fillId="0" borderId="5" xfId="0" applyNumberFormat="1" applyBorder="1"/>
    <xf numFmtId="164" fontId="0" fillId="0" borderId="4" xfId="0" applyNumberFormat="1" applyBorder="1"/>
    <xf numFmtId="164" fontId="1" fillId="0" borderId="4" xfId="0" applyNumberFormat="1" applyFont="1" applyBorder="1"/>
    <xf numFmtId="164" fontId="0" fillId="0" borderId="5" xfId="0" quotePrefix="1" applyNumberFormat="1" applyBorder="1"/>
    <xf numFmtId="0" fontId="1" fillId="0" borderId="5" xfId="0" applyFont="1" applyBorder="1"/>
    <xf numFmtId="164" fontId="0" fillId="0" borderId="3" xfId="0" applyNumberFormat="1" applyBorder="1"/>
    <xf numFmtId="164" fontId="0" fillId="0" borderId="1" xfId="0" applyNumberFormat="1" applyBorder="1"/>
    <xf numFmtId="0" fontId="2" fillId="0" borderId="2" xfId="0" applyFont="1" applyBorder="1"/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SD Improvement</a:t>
            </a:r>
            <a:r>
              <a:rPr lang="en-US" baseline="0"/>
              <a:t> compared to nr. spaces in sd run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Surface area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Sheet1!$U$4:$U$25</c:f>
              <c:numCache>
                <c:formatCode>0.0</c:formatCode>
                <c:ptCount val="22"/>
                <c:pt idx="0">
                  <c:v>92.066692472217397</c:v>
                </c:pt>
                <c:pt idx="1">
                  <c:v>68.502289972979199</c:v>
                </c:pt>
                <c:pt idx="2">
                  <c:v>0</c:v>
                </c:pt>
                <c:pt idx="3">
                  <c:v>0</c:v>
                </c:pt>
                <c:pt idx="4">
                  <c:v>51.967418646059102</c:v>
                </c:pt>
                <c:pt idx="5">
                  <c:v>94.072471775228394</c:v>
                </c:pt>
                <c:pt idx="6">
                  <c:v>79.595726829358895</c:v>
                </c:pt>
                <c:pt idx="7">
                  <c:v>19.873537237861001</c:v>
                </c:pt>
                <c:pt idx="8">
                  <c:v>19.5122302238121</c:v>
                </c:pt>
                <c:pt idx="9">
                  <c:v>24.860517626357399</c:v>
                </c:pt>
                <c:pt idx="10">
                  <c:v>40.192092546317703</c:v>
                </c:pt>
                <c:pt idx="11">
                  <c:v>44.393530262055698</c:v>
                </c:pt>
                <c:pt idx="12">
                  <c:v>52.073968705815602</c:v>
                </c:pt>
                <c:pt idx="13">
                  <c:v>84.846312472656294</c:v>
                </c:pt>
                <c:pt idx="15">
                  <c:v>61.1516706362466</c:v>
                </c:pt>
                <c:pt idx="16">
                  <c:v>53.089007374398498</c:v>
                </c:pt>
                <c:pt idx="17">
                  <c:v>83.967459572964401</c:v>
                </c:pt>
                <c:pt idx="18">
                  <c:v>0</c:v>
                </c:pt>
                <c:pt idx="19">
                  <c:v>17.7776395988598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C-4153-AC16-6E644C2641FE}"/>
            </c:ext>
          </c:extLst>
        </c:ser>
        <c:ser>
          <c:idx val="1"/>
          <c:order val="1"/>
          <c:tx>
            <c:strRef>
              <c:f>Sheet1!$BG$3</c:f>
              <c:strCache>
                <c:ptCount val="1"/>
                <c:pt idx="0">
                  <c:v>Volume area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Sheet1!$BG$4:$BG$25</c:f>
              <c:numCache>
                <c:formatCode>0.0</c:formatCode>
                <c:ptCount val="22"/>
                <c:pt idx="0">
                  <c:v>93.276310582098503</c:v>
                </c:pt>
                <c:pt idx="1">
                  <c:v>72.097239846055601</c:v>
                </c:pt>
                <c:pt idx="2">
                  <c:v>0</c:v>
                </c:pt>
                <c:pt idx="3">
                  <c:v>0</c:v>
                </c:pt>
                <c:pt idx="4">
                  <c:v>50.789574407111097</c:v>
                </c:pt>
                <c:pt idx="5">
                  <c:v>93.982806916414802</c:v>
                </c:pt>
                <c:pt idx="6">
                  <c:v>69.384402599373104</c:v>
                </c:pt>
                <c:pt idx="7">
                  <c:v>5.0257403137863204</c:v>
                </c:pt>
                <c:pt idx="8">
                  <c:v>19.512230223799801</c:v>
                </c:pt>
                <c:pt idx="10">
                  <c:v>38.221443148327701</c:v>
                </c:pt>
                <c:pt idx="11">
                  <c:v>44.288617447015902</c:v>
                </c:pt>
                <c:pt idx="12">
                  <c:v>50.755857445924903</c:v>
                </c:pt>
                <c:pt idx="13">
                  <c:v>84.846304341907796</c:v>
                </c:pt>
                <c:pt idx="14">
                  <c:v>82.254142503631599</c:v>
                </c:pt>
                <c:pt idx="15">
                  <c:v>59.265524028950402</c:v>
                </c:pt>
                <c:pt idx="16">
                  <c:v>61.7045329964891</c:v>
                </c:pt>
                <c:pt idx="17">
                  <c:v>82.142749888267801</c:v>
                </c:pt>
                <c:pt idx="18">
                  <c:v>0</c:v>
                </c:pt>
                <c:pt idx="19">
                  <c:v>17.777639598860301</c:v>
                </c:pt>
                <c:pt idx="20">
                  <c:v>0</c:v>
                </c:pt>
                <c:pt idx="21">
                  <c:v>64.646075863351896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C-4153-AC16-6E644C2641FE}"/>
            </c:ext>
          </c:extLst>
        </c:ser>
        <c:ser>
          <c:idx val="2"/>
          <c:order val="2"/>
          <c:tx>
            <c:strRef>
              <c:f>Sheet1!$CQ$3</c:f>
              <c:strCache>
                <c:ptCount val="1"/>
                <c:pt idx="0">
                  <c:v>Floor area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Sheet1!$CQ$4:$CQ$25</c:f>
              <c:numCache>
                <c:formatCode>0.0</c:formatCode>
                <c:ptCount val="22"/>
                <c:pt idx="0">
                  <c:v>93.276310582098503</c:v>
                </c:pt>
                <c:pt idx="1">
                  <c:v>72.0972398460558</c:v>
                </c:pt>
                <c:pt idx="2">
                  <c:v>0</c:v>
                </c:pt>
                <c:pt idx="3">
                  <c:v>0</c:v>
                </c:pt>
                <c:pt idx="4">
                  <c:v>52.791079420958297</c:v>
                </c:pt>
                <c:pt idx="5">
                  <c:v>93.982806916414702</c:v>
                </c:pt>
                <c:pt idx="6">
                  <c:v>77.861717515269206</c:v>
                </c:pt>
                <c:pt idx="7">
                  <c:v>5.0257403137866499</c:v>
                </c:pt>
                <c:pt idx="8">
                  <c:v>19.5122302238121</c:v>
                </c:pt>
                <c:pt idx="9">
                  <c:v>23.590011886646799</c:v>
                </c:pt>
                <c:pt idx="10">
                  <c:v>38.3419078294204</c:v>
                </c:pt>
                <c:pt idx="11">
                  <c:v>44.2886174470162</c:v>
                </c:pt>
                <c:pt idx="12">
                  <c:v>50.7558574459187</c:v>
                </c:pt>
                <c:pt idx="13">
                  <c:v>84.846304341907896</c:v>
                </c:pt>
                <c:pt idx="14">
                  <c:v>82.254142503631499</c:v>
                </c:pt>
                <c:pt idx="15">
                  <c:v>59.265524032560897</c:v>
                </c:pt>
                <c:pt idx="16">
                  <c:v>61.7045329964891</c:v>
                </c:pt>
                <c:pt idx="17">
                  <c:v>82.142749888268696</c:v>
                </c:pt>
                <c:pt idx="18">
                  <c:v>0</c:v>
                </c:pt>
                <c:pt idx="19">
                  <c:v>17.7776395988598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C-4153-AC16-6E644C2641FE}"/>
            </c:ext>
          </c:extLst>
        </c:ser>
        <c:ser>
          <c:idx val="3"/>
          <c:order val="3"/>
          <c:tx>
            <c:strRef>
              <c:f>Sheet1!$EA$3</c:f>
              <c:strCache>
                <c:ptCount val="1"/>
                <c:pt idx="0">
                  <c:v>No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Sheet1!$EA$4:$EA$25</c:f>
              <c:numCache>
                <c:formatCode>0.0</c:formatCode>
                <c:ptCount val="22"/>
                <c:pt idx="0">
                  <c:v>92.837490538789794</c:v>
                </c:pt>
                <c:pt idx="1">
                  <c:v>67.981094655324796</c:v>
                </c:pt>
                <c:pt idx="2">
                  <c:v>0</c:v>
                </c:pt>
                <c:pt idx="3">
                  <c:v>0</c:v>
                </c:pt>
                <c:pt idx="4">
                  <c:v>51.967418646059599</c:v>
                </c:pt>
                <c:pt idx="5">
                  <c:v>93.916008678380095</c:v>
                </c:pt>
                <c:pt idx="6">
                  <c:v>79.312922950929305</c:v>
                </c:pt>
                <c:pt idx="7">
                  <c:v>19.8735372378612</c:v>
                </c:pt>
                <c:pt idx="8">
                  <c:v>26.432922901026199</c:v>
                </c:pt>
                <c:pt idx="9">
                  <c:v>28.687590803479999</c:v>
                </c:pt>
                <c:pt idx="10">
                  <c:v>38.221105832314997</c:v>
                </c:pt>
                <c:pt idx="12">
                  <c:v>24.579390761305</c:v>
                </c:pt>
                <c:pt idx="13">
                  <c:v>84.846312472655995</c:v>
                </c:pt>
                <c:pt idx="14">
                  <c:v>70.189687845080996</c:v>
                </c:pt>
                <c:pt idx="15">
                  <c:v>49.345784491089503</c:v>
                </c:pt>
                <c:pt idx="18">
                  <c:v>0</c:v>
                </c:pt>
                <c:pt idx="19">
                  <c:v>17.777639598859601</c:v>
                </c:pt>
                <c:pt idx="20">
                  <c:v>0</c:v>
                </c:pt>
                <c:pt idx="21">
                  <c:v>56.157058113325903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C-4153-AC16-6E644C264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342255"/>
        <c:axId val="1195345135"/>
      </c:scatterChart>
      <c:valAx>
        <c:axId val="119534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spaces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5345135"/>
        <c:crosses val="autoZero"/>
        <c:crossBetween val="midCat"/>
      </c:valAx>
      <c:valAx>
        <c:axId val="119534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i</a:t>
                </a:r>
                <a:r>
                  <a:rPr lang="en-US"/>
                  <a:t>mprovement best</a:t>
                </a:r>
                <a:r>
                  <a:rPr lang="en-US" baseline="0"/>
                  <a:t> vs. initial design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534225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BP improvement</a:t>
            </a:r>
            <a:r>
              <a:rPr lang="en-US" baseline="0"/>
              <a:t> compared to nr. spaces in bp run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Sheet1!$AJ$3</c:f>
              <c:strCache>
                <c:ptCount val="1"/>
                <c:pt idx="0">
                  <c:v>Surface area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Sheet1!$AJ$4:$AJ$25</c:f>
              <c:numCache>
                <c:formatCode>0.0</c:formatCode>
                <c:ptCount val="22"/>
                <c:pt idx="0">
                  <c:v>5.2576243830450498</c:v>
                </c:pt>
                <c:pt idx="1">
                  <c:v>3.2120385906311899</c:v>
                </c:pt>
                <c:pt idx="2">
                  <c:v>0</c:v>
                </c:pt>
                <c:pt idx="3">
                  <c:v>7.6738814886345299</c:v>
                </c:pt>
                <c:pt idx="4">
                  <c:v>0</c:v>
                </c:pt>
                <c:pt idx="5">
                  <c:v>16.977858302576202</c:v>
                </c:pt>
                <c:pt idx="6">
                  <c:v>57.642212686992401</c:v>
                </c:pt>
                <c:pt idx="7">
                  <c:v>10.368121524325201</c:v>
                </c:pt>
                <c:pt idx="8">
                  <c:v>25.7144121691579</c:v>
                </c:pt>
                <c:pt idx="9">
                  <c:v>0</c:v>
                </c:pt>
                <c:pt idx="10">
                  <c:v>2.0180150934062402</c:v>
                </c:pt>
                <c:pt idx="11">
                  <c:v>21.440089932785099</c:v>
                </c:pt>
                <c:pt idx="12">
                  <c:v>27.709426454249499</c:v>
                </c:pt>
                <c:pt idx="13">
                  <c:v>5.6968570728463899</c:v>
                </c:pt>
                <c:pt idx="14">
                  <c:v>1.84485992675349</c:v>
                </c:pt>
                <c:pt idx="15">
                  <c:v>4.3379998451515096</c:v>
                </c:pt>
                <c:pt idx="16">
                  <c:v>6.4431226189312198</c:v>
                </c:pt>
                <c:pt idx="17">
                  <c:v>0.51573369776317601</c:v>
                </c:pt>
                <c:pt idx="18">
                  <c:v>26.923398889288801</c:v>
                </c:pt>
                <c:pt idx="19">
                  <c:v>11.4196205607221</c:v>
                </c:pt>
                <c:pt idx="20">
                  <c:v>27.025998127152299</c:v>
                </c:pt>
                <c:pt idx="21">
                  <c:v>16.269133661562499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0-4A8D-B872-1CEC133645D9}"/>
            </c:ext>
          </c:extLst>
        </c:ser>
        <c:ser>
          <c:idx val="1"/>
          <c:order val="1"/>
          <c:tx>
            <c:strRef>
              <c:f>Sheet1!$BT$3</c:f>
              <c:strCache>
                <c:ptCount val="1"/>
                <c:pt idx="0">
                  <c:v>Volume area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Sheet1!$BT$4:$BT$25</c:f>
              <c:numCache>
                <c:formatCode>0.0</c:formatCode>
                <c:ptCount val="22"/>
                <c:pt idx="0">
                  <c:v>6.36342450033756</c:v>
                </c:pt>
                <c:pt idx="1">
                  <c:v>4.0853297084445996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22.6377491353045</c:v>
                </c:pt>
                <c:pt idx="7">
                  <c:v>1.61057400174934</c:v>
                </c:pt>
                <c:pt idx="8">
                  <c:v>0.30098382688023001</c:v>
                </c:pt>
                <c:pt idx="9">
                  <c:v>0.81199278723896795</c:v>
                </c:pt>
                <c:pt idx="10">
                  <c:v>0</c:v>
                </c:pt>
                <c:pt idx="11">
                  <c:v>12.351146089498499</c:v>
                </c:pt>
                <c:pt idx="12">
                  <c:v>21.624650199841899</c:v>
                </c:pt>
                <c:pt idx="13">
                  <c:v>5.70100788605271</c:v>
                </c:pt>
                <c:pt idx="14">
                  <c:v>2.88733898200076</c:v>
                </c:pt>
                <c:pt idx="16">
                  <c:v>6.2553978533550998</c:v>
                </c:pt>
                <c:pt idx="17">
                  <c:v>3.4270972645466</c:v>
                </c:pt>
                <c:pt idx="18">
                  <c:v>0</c:v>
                </c:pt>
                <c:pt idx="19">
                  <c:v>11.895698934833099</c:v>
                </c:pt>
                <c:pt idx="20">
                  <c:v>6.6927120127744999</c:v>
                </c:pt>
                <c:pt idx="21">
                  <c:v>0.187944522690941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0-4A8D-B872-1CEC133645D9}"/>
            </c:ext>
          </c:extLst>
        </c:ser>
        <c:ser>
          <c:idx val="2"/>
          <c:order val="2"/>
          <c:tx>
            <c:strRef>
              <c:f>Sheet1!$CR$3</c:f>
              <c:strCache>
                <c:ptCount val="1"/>
                <c:pt idx="0">
                  <c:v>Floor area division bp improvement sd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Sheet1!$CR$4:$CR$25</c:f>
              <c:numCache>
                <c:formatCode>0.0</c:formatCode>
                <c:ptCount val="22"/>
                <c:pt idx="0">
                  <c:v>4.0852360218808998</c:v>
                </c:pt>
                <c:pt idx="1">
                  <c:v>1.7848192299188099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5.8588173845362599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0.83967337905168604</c:v>
                </c:pt>
                <c:pt idx="11">
                  <c:v>0</c:v>
                </c:pt>
                <c:pt idx="12">
                  <c:v>4.6196960843273898</c:v>
                </c:pt>
                <c:pt idx="13">
                  <c:v>5.2384062884176403</c:v>
                </c:pt>
                <c:pt idx="14">
                  <c:v>1.3174577893291901</c:v>
                </c:pt>
                <c:pt idx="15">
                  <c:v>3.2565961355659501</c:v>
                </c:pt>
                <c:pt idx="16">
                  <c:v>7.5869974482592903</c:v>
                </c:pt>
                <c:pt idx="17">
                  <c:v>0</c:v>
                </c:pt>
                <c:pt idx="18">
                  <c:v>3.3393131749985701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0-4A8D-B872-1CEC133645D9}"/>
            </c:ext>
          </c:extLst>
        </c:ser>
        <c:ser>
          <c:idx val="3"/>
          <c:order val="3"/>
          <c:tx>
            <c:strRef>
              <c:f>Sheet1!$EN$3</c:f>
              <c:strCache>
                <c:ptCount val="1"/>
                <c:pt idx="0">
                  <c:v>No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9</c:v>
                </c:pt>
                <c:pt idx="4">
                  <c:v>14</c:v>
                </c:pt>
                <c:pt idx="5">
                  <c:v>50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4</c:v>
                </c:pt>
                <c:pt idx="14">
                  <c:v>65</c:v>
                </c:pt>
                <c:pt idx="15">
                  <c:v>72</c:v>
                </c:pt>
                <c:pt idx="16">
                  <c:v>17</c:v>
                </c:pt>
                <c:pt idx="17">
                  <c:v>116</c:v>
                </c:pt>
                <c:pt idx="18">
                  <c:v>37</c:v>
                </c:pt>
                <c:pt idx="19">
                  <c:v>8</c:v>
                </c:pt>
                <c:pt idx="20">
                  <c:v>5</c:v>
                </c:pt>
                <c:pt idx="21">
                  <c:v>31</c:v>
                </c:pt>
              </c:numCache>
            </c:numRef>
          </c:xVal>
          <c:yVal>
            <c:numRef>
              <c:f>Sheet1!$EN$4:$EN$25</c:f>
              <c:numCache>
                <c:formatCode>0.0</c:formatCode>
                <c:ptCount val="22"/>
                <c:pt idx="0">
                  <c:v>4.6574078778599404</c:v>
                </c:pt>
                <c:pt idx="1">
                  <c:v>3.0144648449522</c:v>
                </c:pt>
                <c:pt idx="2">
                  <c:v>0</c:v>
                </c:pt>
                <c:pt idx="3">
                  <c:v>6.2479458087795798</c:v>
                </c:pt>
                <c:pt idx="4">
                  <c:v>0</c:v>
                </c:pt>
                <c:pt idx="5">
                  <c:v>14.2245532351791</c:v>
                </c:pt>
                <c:pt idx="6">
                  <c:v>58.249285162467203</c:v>
                </c:pt>
                <c:pt idx="7">
                  <c:v>10.017758218480401</c:v>
                </c:pt>
                <c:pt idx="8">
                  <c:v>25.785720352437899</c:v>
                </c:pt>
                <c:pt idx="9">
                  <c:v>8.5551390778968592</c:v>
                </c:pt>
                <c:pt idx="11">
                  <c:v>33.727273871617697</c:v>
                </c:pt>
                <c:pt idx="12">
                  <c:v>13.347338243484501</c:v>
                </c:pt>
                <c:pt idx="13">
                  <c:v>5.4391519392461598</c:v>
                </c:pt>
                <c:pt idx="14">
                  <c:v>2.7065914666829798</c:v>
                </c:pt>
                <c:pt idx="15">
                  <c:v>2.0962557775339201</c:v>
                </c:pt>
                <c:pt idx="16">
                  <c:v>7.3953363955013103</c:v>
                </c:pt>
                <c:pt idx="17">
                  <c:v>0</c:v>
                </c:pt>
                <c:pt idx="18">
                  <c:v>26.136331349152002</c:v>
                </c:pt>
                <c:pt idx="19">
                  <c:v>10.8758728298412</c:v>
                </c:pt>
                <c:pt idx="20">
                  <c:v>26.9513989214419</c:v>
                </c:pt>
                <c:pt idx="21">
                  <c:v>15.4392575204928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0-4A8D-B872-1CEC13364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799167"/>
        <c:axId val="1146807807"/>
      </c:scatterChart>
      <c:valAx>
        <c:axId val="114679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spaces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46807807"/>
        <c:crosses val="autoZero"/>
        <c:crossBetween val="midCat"/>
      </c:valAx>
      <c:valAx>
        <c:axId val="11468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improvement best vs. initial</a:t>
                </a:r>
                <a:r>
                  <a:rPr lang="en-US" baseline="0"/>
                  <a:t> design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4679916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SD improvement</a:t>
            </a:r>
            <a:r>
              <a:rPr lang="en-US" baseline="0"/>
              <a:t> comprared to elevation count in sd run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Surface area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Sheet1!$U$4:$U$25</c:f>
              <c:numCache>
                <c:formatCode>0.0</c:formatCode>
                <c:ptCount val="22"/>
                <c:pt idx="0">
                  <c:v>92.066692472217397</c:v>
                </c:pt>
                <c:pt idx="1">
                  <c:v>68.502289972979199</c:v>
                </c:pt>
                <c:pt idx="2">
                  <c:v>0</c:v>
                </c:pt>
                <c:pt idx="3">
                  <c:v>0</c:v>
                </c:pt>
                <c:pt idx="4">
                  <c:v>51.967418646059102</c:v>
                </c:pt>
                <c:pt idx="5">
                  <c:v>94.072471775228394</c:v>
                </c:pt>
                <c:pt idx="6">
                  <c:v>79.595726829358895</c:v>
                </c:pt>
                <c:pt idx="7">
                  <c:v>19.873537237861001</c:v>
                </c:pt>
                <c:pt idx="8">
                  <c:v>19.5122302238121</c:v>
                </c:pt>
                <c:pt idx="9">
                  <c:v>24.860517626357399</c:v>
                </c:pt>
                <c:pt idx="10">
                  <c:v>40.192092546317703</c:v>
                </c:pt>
                <c:pt idx="11">
                  <c:v>44.393530262055698</c:v>
                </c:pt>
                <c:pt idx="12">
                  <c:v>52.073968705815602</c:v>
                </c:pt>
                <c:pt idx="13">
                  <c:v>84.846312472656294</c:v>
                </c:pt>
                <c:pt idx="15">
                  <c:v>61.1516706362466</c:v>
                </c:pt>
                <c:pt idx="16">
                  <c:v>53.089007374398498</c:v>
                </c:pt>
                <c:pt idx="17">
                  <c:v>83.967459572964401</c:v>
                </c:pt>
                <c:pt idx="18">
                  <c:v>0</c:v>
                </c:pt>
                <c:pt idx="19">
                  <c:v>17.7776395988598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C-46E1-9081-FD1C8FADE1BC}"/>
            </c:ext>
          </c:extLst>
        </c:ser>
        <c:ser>
          <c:idx val="1"/>
          <c:order val="1"/>
          <c:tx>
            <c:strRef>
              <c:f>Sheet1!$BG$3</c:f>
              <c:strCache>
                <c:ptCount val="1"/>
                <c:pt idx="0">
                  <c:v>Volume area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Sheet1!$BG$4:$BG$25</c:f>
              <c:numCache>
                <c:formatCode>0.0</c:formatCode>
                <c:ptCount val="22"/>
                <c:pt idx="0">
                  <c:v>93.276310582098503</c:v>
                </c:pt>
                <c:pt idx="1">
                  <c:v>72.097239846055601</c:v>
                </c:pt>
                <c:pt idx="2">
                  <c:v>0</c:v>
                </c:pt>
                <c:pt idx="3">
                  <c:v>0</c:v>
                </c:pt>
                <c:pt idx="4">
                  <c:v>50.789574407111097</c:v>
                </c:pt>
                <c:pt idx="5">
                  <c:v>93.982806916414802</c:v>
                </c:pt>
                <c:pt idx="6">
                  <c:v>69.384402599373104</c:v>
                </c:pt>
                <c:pt idx="7">
                  <c:v>5.0257403137863204</c:v>
                </c:pt>
                <c:pt idx="8">
                  <c:v>19.512230223799801</c:v>
                </c:pt>
                <c:pt idx="10">
                  <c:v>38.221443148327701</c:v>
                </c:pt>
                <c:pt idx="11">
                  <c:v>44.288617447015902</c:v>
                </c:pt>
                <c:pt idx="12">
                  <c:v>50.755857445924903</c:v>
                </c:pt>
                <c:pt idx="13">
                  <c:v>84.846304341907796</c:v>
                </c:pt>
                <c:pt idx="14">
                  <c:v>82.254142503631599</c:v>
                </c:pt>
                <c:pt idx="15">
                  <c:v>59.265524028950402</c:v>
                </c:pt>
                <c:pt idx="16">
                  <c:v>61.7045329964891</c:v>
                </c:pt>
                <c:pt idx="17">
                  <c:v>82.142749888267801</c:v>
                </c:pt>
                <c:pt idx="18">
                  <c:v>0</c:v>
                </c:pt>
                <c:pt idx="19">
                  <c:v>17.777639598860301</c:v>
                </c:pt>
                <c:pt idx="20">
                  <c:v>0</c:v>
                </c:pt>
                <c:pt idx="21">
                  <c:v>64.646075863351896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4C-46E1-9081-FD1C8FADE1BC}"/>
            </c:ext>
          </c:extLst>
        </c:ser>
        <c:ser>
          <c:idx val="2"/>
          <c:order val="2"/>
          <c:tx>
            <c:strRef>
              <c:f>Sheet1!$CQ$3</c:f>
              <c:strCache>
                <c:ptCount val="1"/>
                <c:pt idx="0">
                  <c:v>Floor area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Sheet1!$CQ$4:$CQ$25</c:f>
              <c:numCache>
                <c:formatCode>0.0</c:formatCode>
                <c:ptCount val="22"/>
                <c:pt idx="0">
                  <c:v>93.276310582098503</c:v>
                </c:pt>
                <c:pt idx="1">
                  <c:v>72.0972398460558</c:v>
                </c:pt>
                <c:pt idx="2">
                  <c:v>0</c:v>
                </c:pt>
                <c:pt idx="3">
                  <c:v>0</c:v>
                </c:pt>
                <c:pt idx="4">
                  <c:v>52.791079420958297</c:v>
                </c:pt>
                <c:pt idx="5">
                  <c:v>93.982806916414702</c:v>
                </c:pt>
                <c:pt idx="6">
                  <c:v>77.861717515269206</c:v>
                </c:pt>
                <c:pt idx="7">
                  <c:v>5.0257403137866499</c:v>
                </c:pt>
                <c:pt idx="8">
                  <c:v>19.5122302238121</c:v>
                </c:pt>
                <c:pt idx="9">
                  <c:v>23.590011886646799</c:v>
                </c:pt>
                <c:pt idx="10">
                  <c:v>38.3419078294204</c:v>
                </c:pt>
                <c:pt idx="11">
                  <c:v>44.2886174470162</c:v>
                </c:pt>
                <c:pt idx="12">
                  <c:v>50.7558574459187</c:v>
                </c:pt>
                <c:pt idx="13">
                  <c:v>84.846304341907896</c:v>
                </c:pt>
                <c:pt idx="14">
                  <c:v>82.254142503631499</c:v>
                </c:pt>
                <c:pt idx="15">
                  <c:v>59.265524032560897</c:v>
                </c:pt>
                <c:pt idx="16">
                  <c:v>61.7045329964891</c:v>
                </c:pt>
                <c:pt idx="17">
                  <c:v>82.142749888268696</c:v>
                </c:pt>
                <c:pt idx="18">
                  <c:v>0</c:v>
                </c:pt>
                <c:pt idx="19">
                  <c:v>17.7776395988598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4C-46E1-9081-FD1C8FADE1BC}"/>
            </c:ext>
          </c:extLst>
        </c:ser>
        <c:ser>
          <c:idx val="3"/>
          <c:order val="3"/>
          <c:tx>
            <c:strRef>
              <c:f>Sheet1!$EA$3</c:f>
              <c:strCache>
                <c:ptCount val="1"/>
                <c:pt idx="0">
                  <c:v>No division sd improvement sd run[%]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Sheet1!$EA$4:$EA$25</c:f>
              <c:numCache>
                <c:formatCode>0.0</c:formatCode>
                <c:ptCount val="22"/>
                <c:pt idx="0">
                  <c:v>92.837490538789794</c:v>
                </c:pt>
                <c:pt idx="1">
                  <c:v>67.981094655324796</c:v>
                </c:pt>
                <c:pt idx="2">
                  <c:v>0</c:v>
                </c:pt>
                <c:pt idx="3">
                  <c:v>0</c:v>
                </c:pt>
                <c:pt idx="4">
                  <c:v>51.967418646059599</c:v>
                </c:pt>
                <c:pt idx="5">
                  <c:v>93.916008678380095</c:v>
                </c:pt>
                <c:pt idx="6">
                  <c:v>79.312922950929305</c:v>
                </c:pt>
                <c:pt idx="7">
                  <c:v>19.8735372378612</c:v>
                </c:pt>
                <c:pt idx="8">
                  <c:v>26.432922901026199</c:v>
                </c:pt>
                <c:pt idx="9">
                  <c:v>28.687590803479999</c:v>
                </c:pt>
                <c:pt idx="10">
                  <c:v>38.221105832314997</c:v>
                </c:pt>
                <c:pt idx="12">
                  <c:v>24.579390761305</c:v>
                </c:pt>
                <c:pt idx="13">
                  <c:v>84.846312472655995</c:v>
                </c:pt>
                <c:pt idx="14">
                  <c:v>70.189687845080996</c:v>
                </c:pt>
                <c:pt idx="15">
                  <c:v>49.345784491089503</c:v>
                </c:pt>
                <c:pt idx="18">
                  <c:v>0</c:v>
                </c:pt>
                <c:pt idx="19">
                  <c:v>17.777639598859601</c:v>
                </c:pt>
                <c:pt idx="20">
                  <c:v>0</c:v>
                </c:pt>
                <c:pt idx="21">
                  <c:v>56.157058113325903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4C-46E1-9081-FD1C8FADE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97135"/>
        <c:axId val="1195321135"/>
      </c:scatterChart>
      <c:valAx>
        <c:axId val="119529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elevation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5321135"/>
        <c:crosses val="autoZero"/>
        <c:crossBetween val="midCat"/>
      </c:valAx>
      <c:valAx>
        <c:axId val="11953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improvement best</a:t>
                </a:r>
                <a:r>
                  <a:rPr lang="en-US" baseline="0"/>
                  <a:t> vs. intial design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529713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BP improvement</a:t>
            </a:r>
            <a:r>
              <a:rPr lang="en-US" baseline="0"/>
              <a:t> compared to elevation count in bp run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Sheet1!$AJ$3</c:f>
              <c:strCache>
                <c:ptCount val="1"/>
                <c:pt idx="0">
                  <c:v>Surface area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Sheet1!$AJ$4:$AJ$25</c:f>
              <c:numCache>
                <c:formatCode>0.0</c:formatCode>
                <c:ptCount val="22"/>
                <c:pt idx="0">
                  <c:v>5.2576243830450498</c:v>
                </c:pt>
                <c:pt idx="1">
                  <c:v>3.2120385906311899</c:v>
                </c:pt>
                <c:pt idx="2">
                  <c:v>0</c:v>
                </c:pt>
                <c:pt idx="3">
                  <c:v>7.6738814886345299</c:v>
                </c:pt>
                <c:pt idx="4">
                  <c:v>0</c:v>
                </c:pt>
                <c:pt idx="5">
                  <c:v>16.977858302576202</c:v>
                </c:pt>
                <c:pt idx="6">
                  <c:v>57.642212686992401</c:v>
                </c:pt>
                <c:pt idx="7">
                  <c:v>10.368121524325201</c:v>
                </c:pt>
                <c:pt idx="8">
                  <c:v>25.7144121691579</c:v>
                </c:pt>
                <c:pt idx="9">
                  <c:v>0</c:v>
                </c:pt>
                <c:pt idx="10">
                  <c:v>2.0180150934062402</c:v>
                </c:pt>
                <c:pt idx="11">
                  <c:v>21.440089932785099</c:v>
                </c:pt>
                <c:pt idx="12">
                  <c:v>27.709426454249499</c:v>
                </c:pt>
                <c:pt idx="13">
                  <c:v>5.6968570728463899</c:v>
                </c:pt>
                <c:pt idx="14">
                  <c:v>1.84485992675349</c:v>
                </c:pt>
                <c:pt idx="15">
                  <c:v>4.3379998451515096</c:v>
                </c:pt>
                <c:pt idx="16">
                  <c:v>6.4431226189312198</c:v>
                </c:pt>
                <c:pt idx="17">
                  <c:v>0.51573369776317601</c:v>
                </c:pt>
                <c:pt idx="18">
                  <c:v>26.923398889288801</c:v>
                </c:pt>
                <c:pt idx="19">
                  <c:v>11.4196205607221</c:v>
                </c:pt>
                <c:pt idx="20">
                  <c:v>27.025998127152299</c:v>
                </c:pt>
                <c:pt idx="21">
                  <c:v>16.269133661562499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6-4BA8-B3D6-E65F73E50A50}"/>
            </c:ext>
          </c:extLst>
        </c:ser>
        <c:ser>
          <c:idx val="1"/>
          <c:order val="1"/>
          <c:tx>
            <c:strRef>
              <c:f>Sheet1!$BT$3</c:f>
              <c:strCache>
                <c:ptCount val="1"/>
                <c:pt idx="0">
                  <c:v>Volume area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Sheet1!$BT$4:$BT$25</c:f>
              <c:numCache>
                <c:formatCode>0.0</c:formatCode>
                <c:ptCount val="22"/>
                <c:pt idx="0">
                  <c:v>6.36342450033756</c:v>
                </c:pt>
                <c:pt idx="1">
                  <c:v>4.0853297084445996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22.6377491353045</c:v>
                </c:pt>
                <c:pt idx="7">
                  <c:v>1.61057400174934</c:v>
                </c:pt>
                <c:pt idx="8">
                  <c:v>0.30098382688023001</c:v>
                </c:pt>
                <c:pt idx="9">
                  <c:v>0.81199278723896795</c:v>
                </c:pt>
                <c:pt idx="10">
                  <c:v>0</c:v>
                </c:pt>
                <c:pt idx="11">
                  <c:v>12.351146089498499</c:v>
                </c:pt>
                <c:pt idx="12">
                  <c:v>21.624650199841899</c:v>
                </c:pt>
                <c:pt idx="13">
                  <c:v>5.70100788605271</c:v>
                </c:pt>
                <c:pt idx="14">
                  <c:v>2.88733898200076</c:v>
                </c:pt>
                <c:pt idx="16">
                  <c:v>6.2553978533550998</c:v>
                </c:pt>
                <c:pt idx="17">
                  <c:v>3.4270972645466</c:v>
                </c:pt>
                <c:pt idx="18">
                  <c:v>0</c:v>
                </c:pt>
                <c:pt idx="19">
                  <c:v>11.895698934833099</c:v>
                </c:pt>
                <c:pt idx="20">
                  <c:v>6.6927120127744999</c:v>
                </c:pt>
                <c:pt idx="21">
                  <c:v>0.187944522690941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6-4BA8-B3D6-E65F73E50A50}"/>
            </c:ext>
          </c:extLst>
        </c:ser>
        <c:ser>
          <c:idx val="2"/>
          <c:order val="2"/>
          <c:tx>
            <c:strRef>
              <c:f>Sheet1!$DD$3</c:f>
              <c:strCache>
                <c:ptCount val="1"/>
                <c:pt idx="0">
                  <c:v>Floor area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Sheet1!$DD$4:$DD$25</c:f>
              <c:numCache>
                <c:formatCode>0.0</c:formatCode>
                <c:ptCount val="22"/>
                <c:pt idx="1">
                  <c:v>4.0853297084444602</c:v>
                </c:pt>
                <c:pt idx="2">
                  <c:v>0</c:v>
                </c:pt>
                <c:pt idx="3">
                  <c:v>6.24794580877965</c:v>
                </c:pt>
                <c:pt idx="4">
                  <c:v>9.07887708889381</c:v>
                </c:pt>
                <c:pt idx="5">
                  <c:v>17.447408639985099</c:v>
                </c:pt>
                <c:pt idx="6">
                  <c:v>60.466113435252304</c:v>
                </c:pt>
                <c:pt idx="7">
                  <c:v>10.425249161408701</c:v>
                </c:pt>
                <c:pt idx="8">
                  <c:v>20.505429858468698</c:v>
                </c:pt>
                <c:pt idx="9">
                  <c:v>15.397599472272001</c:v>
                </c:pt>
                <c:pt idx="10">
                  <c:v>9.6871072302451005</c:v>
                </c:pt>
                <c:pt idx="11">
                  <c:v>12.351146089481</c:v>
                </c:pt>
                <c:pt idx="12">
                  <c:v>21.624650199841899</c:v>
                </c:pt>
                <c:pt idx="13">
                  <c:v>5.7010078860526701</c:v>
                </c:pt>
                <c:pt idx="14">
                  <c:v>2.88733898200076</c:v>
                </c:pt>
                <c:pt idx="15">
                  <c:v>8.54323955945436</c:v>
                </c:pt>
                <c:pt idx="16">
                  <c:v>7.5869974482592299</c:v>
                </c:pt>
                <c:pt idx="17">
                  <c:v>3.4270972645465299</c:v>
                </c:pt>
                <c:pt idx="18">
                  <c:v>28.3859418576575</c:v>
                </c:pt>
                <c:pt idx="19">
                  <c:v>11.9012679526548</c:v>
                </c:pt>
                <c:pt idx="20">
                  <c:v>27.263581298933499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56-4BA8-B3D6-E65F73E50A50}"/>
            </c:ext>
          </c:extLst>
        </c:ser>
        <c:ser>
          <c:idx val="3"/>
          <c:order val="3"/>
          <c:tx>
            <c:strRef>
              <c:f>Sheet1!$EN$3</c:f>
              <c:strCache>
                <c:ptCount val="1"/>
                <c:pt idx="0">
                  <c:v>No division bp improvement bp run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Sheet1!$D$4:$D$25</c:f>
              <c:numCache>
                <c:formatCode>General</c:formatCode>
                <c:ptCount val="22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16</c:v>
                </c:pt>
              </c:numCache>
            </c:numRef>
          </c:xVal>
          <c:yVal>
            <c:numRef>
              <c:f>Sheet1!$EN$4:$EN$25</c:f>
              <c:numCache>
                <c:formatCode>0.0</c:formatCode>
                <c:ptCount val="22"/>
                <c:pt idx="0">
                  <c:v>4.6574078778599404</c:v>
                </c:pt>
                <c:pt idx="1">
                  <c:v>3.0144648449522</c:v>
                </c:pt>
                <c:pt idx="2">
                  <c:v>0</c:v>
                </c:pt>
                <c:pt idx="3">
                  <c:v>6.2479458087795798</c:v>
                </c:pt>
                <c:pt idx="4">
                  <c:v>0</c:v>
                </c:pt>
                <c:pt idx="5">
                  <c:v>14.2245532351791</c:v>
                </c:pt>
                <c:pt idx="6">
                  <c:v>58.249285162467203</c:v>
                </c:pt>
                <c:pt idx="7">
                  <c:v>10.017758218480401</c:v>
                </c:pt>
                <c:pt idx="8">
                  <c:v>25.785720352437899</c:v>
                </c:pt>
                <c:pt idx="9">
                  <c:v>8.5551390778968592</c:v>
                </c:pt>
                <c:pt idx="11">
                  <c:v>33.727273871617697</c:v>
                </c:pt>
                <c:pt idx="12">
                  <c:v>13.347338243484501</c:v>
                </c:pt>
                <c:pt idx="13">
                  <c:v>5.4391519392461598</c:v>
                </c:pt>
                <c:pt idx="14">
                  <c:v>2.7065914666829798</c:v>
                </c:pt>
                <c:pt idx="15">
                  <c:v>2.0962557775339201</c:v>
                </c:pt>
                <c:pt idx="16">
                  <c:v>7.3953363955013103</c:v>
                </c:pt>
                <c:pt idx="17">
                  <c:v>0</c:v>
                </c:pt>
                <c:pt idx="18">
                  <c:v>26.136331349152002</c:v>
                </c:pt>
                <c:pt idx="19">
                  <c:v>10.8758728298412</c:v>
                </c:pt>
                <c:pt idx="20">
                  <c:v>26.9513989214419</c:v>
                </c:pt>
                <c:pt idx="21">
                  <c:v>15.4392575204928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6-4BA8-B3D6-E65F73E5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67375"/>
        <c:axId val="1195265935"/>
      </c:scatterChart>
      <c:valAx>
        <c:axId val="119526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5265935"/>
        <c:crosses val="autoZero"/>
        <c:crossBetween val="midCat"/>
      </c:valAx>
      <c:valAx>
        <c:axId val="11952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improvement best vs. initial design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526737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_xlchart.v1.47</cx:f>
      </cx:numDim>
    </cx:data>
    <cx:data id="2">
      <cx:numDim type="val">
        <cx:f>_xlchart.v1.1</cx:f>
      </cx:numDim>
    </cx:data>
    <cx:data id="3">
      <cx:numDim type="val">
        <cx:f>_xlchart.v1.3</cx:f>
      </cx:numDim>
    </cx:data>
    <cx:data id="4">
      <cx:numDim type="val">
        <cx:f>_xlchart.v1.5</cx:f>
      </cx:numDim>
    </cx:data>
    <cx:data id="5">
      <cx:numDim type="val">
        <cx:f>_xlchart.v1.7</cx:f>
      </cx:numDim>
    </cx:data>
    <cx:data id="6">
      <cx:numDim type="val">
        <cx:f>_xlchart.v1.9</cx:f>
      </cx:numDim>
    </cx:data>
    <cx:data id="7">
      <cx:numDim type="val">
        <cx:f>_xlchart.v1.11</cx:f>
      </cx:numDim>
    </cx:data>
    <cx:data id="8">
      <cx:numDim type="val">
        <cx:f>_xlchart.v1.13</cx:f>
      </cx:numDim>
    </cx:data>
    <cx:data id="9">
      <cx:numDim type="val">
        <cx:f>_xlchart.v1.15</cx:f>
      </cx:numDim>
    </cx:data>
    <cx:data id="10">
      <cx:numDim type="val">
        <cx:f>_xlchart.v1.17</cx:f>
      </cx:numDim>
    </cx:data>
    <cx:data id="11">
      <cx:numDim type="val">
        <cx:f>_xlchart.v1.19</cx:f>
      </cx:numDim>
    </cx:data>
    <cx:data id="12">
      <cx:numDim type="val">
        <cx:f>_xlchart.v1.21</cx:f>
      </cx:numDim>
    </cx:data>
    <cx:data id="13">
      <cx:numDim type="val">
        <cx:f>_xlchart.v1.23</cx:f>
      </cx:numDim>
    </cx:data>
    <cx:data id="14">
      <cx:numDim type="val">
        <cx:f>_xlchart.v1.25</cx:f>
      </cx:numDim>
    </cx:data>
    <cx:data id="15">
      <cx:numDim type="val">
        <cx:f>_xlchart.v1.27</cx:f>
      </cx:numDim>
    </cx:data>
    <cx:data id="16">
      <cx:numDim type="val">
        <cx:f>_xlchart.v1.29</cx:f>
      </cx:numDim>
    </cx:data>
    <cx:data id="17">
      <cx:numDim type="val">
        <cx:f>_xlchart.v1.31</cx:f>
      </cx:numDim>
    </cx:data>
    <cx:data id="18">
      <cx:numDim type="val">
        <cx:f>_xlchart.v1.33</cx:f>
      </cx:numDim>
    </cx:data>
    <cx:data id="19">
      <cx:numDim type="val">
        <cx:f>_xlchart.v1.35</cx:f>
      </cx:numDim>
    </cx:data>
    <cx:data id="20">
      <cx:numDim type="val">
        <cx:f>_xlchart.v1.37</cx:f>
      </cx:numDim>
    </cx:data>
    <cx:data id="21">
      <cx:numDim type="val">
        <cx:f>_xlchart.v1.39</cx:f>
      </cx:numDim>
    </cx:data>
    <cx:data id="22">
      <cx:numDim type="val">
        <cx:f>_xlchart.v1.41</cx:f>
      </cx:numDim>
    </cx:data>
    <cx:data id="23">
      <cx:numDim type="val">
        <cx:f>_xlchart.v1.43</cx:f>
      </cx:numDim>
    </cx:data>
  </cx:chartData>
  <cx:chart>
    <cx:title pos="t" align="ctr" overlay="0">
      <cx:tx>
        <cx:txData>
          <cx:v>Overvieuw of best vs. initial performance improvement per interation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Overvieuw of best vs. initial performance improvement per interation</a:t>
          </a:r>
        </a:p>
      </cx:txPr>
    </cx:title>
    <cx:plotArea>
      <cx:plotAreaRegion>
        <cx:series layoutId="boxWhisker" uniqueId="{F9C7B960-00DF-46DF-8226-1037739B361D}">
          <cx:tx>
            <cx:txData>
              <cx:f>_xlchart.v1.44</cx:f>
              <cx:v>Surface area division sd improvement sd run[%]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B603D70C-3A72-4280-8EA5-E35B3A8F371B}">
          <cx:tx>
            <cx:txData>
              <cx:f>_xlchart.v1.46</cx:f>
              <cx:v>Surface area division bp improvement sd run [%]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E180F9C6-9B82-47ED-82D2-ABE3F97580E4}">
          <cx:tx>
            <cx:txData>
              <cx:f>_xlchart.v1.0</cx:f>
              <cx:v>Surface area division sd improvement bp run[%]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1A2DCCB6-040F-429A-93AA-5232ABCD77F0}">
          <cx:tx>
            <cx:txData>
              <cx:f>_xlchart.v1.2</cx:f>
              <cx:v>Surface area division bp improvement bp run [%]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  <cx:series layoutId="boxWhisker" uniqueId="{83B74E6E-64B3-4EE9-B922-F08CF6274760}">
          <cx:tx>
            <cx:txData>
              <cx:f>_xlchart.v1.4</cx:f>
              <cx:v>Surface area division sd improvement weighted run[%]</cx:v>
            </cx:txData>
          </cx:tx>
          <cx:dataId val="4"/>
          <cx:layoutPr>
            <cx:visibility meanLine="1" meanMarker="1" nonoutliers="0" outliers="1"/>
            <cx:statistics quartileMethod="exclusive"/>
          </cx:layoutPr>
        </cx:series>
        <cx:series layoutId="boxWhisker" uniqueId="{C325E7ED-CBE7-491D-92EF-A879F5964D24}">
          <cx:tx>
            <cx:txData>
              <cx:f>_xlchart.v1.6</cx:f>
              <cx:v>Surface area division bp improvement weighted run [%]</cx:v>
            </cx:txData>
          </cx:tx>
          <cx:dataId val="5"/>
          <cx:layoutPr>
            <cx:visibility meanLine="1" meanMarker="1" nonoutliers="0" outliers="1"/>
            <cx:statistics quartileMethod="exclusive"/>
          </cx:layoutPr>
        </cx:series>
        <cx:series layoutId="boxWhisker" uniqueId="{A3F4DEE5-069C-4AA9-AE45-DD53B2EFB7EE}">
          <cx:tx>
            <cx:txData>
              <cx:f>_xlchart.v1.8</cx:f>
              <cx:v>Volume area division sd improvement sd run[%]</cx:v>
            </cx:txData>
          </cx:tx>
          <cx:dataId val="6"/>
          <cx:layoutPr>
            <cx:visibility meanLine="1" meanMarker="1" nonoutliers="0" outliers="1"/>
            <cx:statistics quartileMethod="exclusive"/>
          </cx:layoutPr>
        </cx:series>
        <cx:series layoutId="boxWhisker" uniqueId="{130E4B29-CD34-4C7F-AB21-6AE74637EEB9}">
          <cx:tx>
            <cx:txData>
              <cx:f>_xlchart.v1.10</cx:f>
              <cx:v>Volume area division bp improvement sd run [%]</cx:v>
            </cx:txData>
          </cx:tx>
          <cx:dataId val="7"/>
          <cx:layoutPr>
            <cx:visibility meanLine="1" meanMarker="1" nonoutliers="0" outliers="1"/>
            <cx:statistics quartileMethod="exclusive"/>
          </cx:layoutPr>
        </cx:series>
        <cx:series layoutId="boxWhisker" uniqueId="{C0931B74-7191-44CF-8748-D403A0E4DBBB}">
          <cx:tx>
            <cx:txData>
              <cx:f>_xlchart.v1.12</cx:f>
              <cx:v>Volume area division sd improvement bp run[%]</cx:v>
            </cx:txData>
          </cx:tx>
          <cx:dataId val="8"/>
          <cx:layoutPr>
            <cx:visibility meanLine="1" meanMarker="1" nonoutliers="0" outliers="1"/>
            <cx:statistics quartileMethod="exclusive"/>
          </cx:layoutPr>
        </cx:series>
        <cx:series layoutId="boxWhisker" uniqueId="{914734F2-4446-445F-B280-09AB701E9E79}">
          <cx:tx>
            <cx:txData>
              <cx:f>_xlchart.v1.14</cx:f>
              <cx:v>Volume area division bp improvement bp run [%]</cx:v>
            </cx:txData>
          </cx:tx>
          <cx:dataId val="9"/>
          <cx:layoutPr>
            <cx:visibility meanLine="1" meanMarker="1" nonoutliers="0" outliers="1"/>
            <cx:statistics quartileMethod="exclusive"/>
          </cx:layoutPr>
        </cx:series>
        <cx:series layoutId="boxWhisker" uniqueId="{B1D934F2-2456-4265-AC63-EAA5BC657D96}">
          <cx:tx>
            <cx:txData>
              <cx:f>_xlchart.v1.16</cx:f>
              <cx:v>Volume area division sd improvement weighted run[%]</cx:v>
            </cx:txData>
          </cx:tx>
          <cx:dataId val="10"/>
          <cx:layoutPr>
            <cx:visibility meanLine="1" meanMarker="1" nonoutliers="0" outliers="1"/>
            <cx:statistics quartileMethod="exclusive"/>
          </cx:layoutPr>
        </cx:series>
        <cx:series layoutId="boxWhisker" uniqueId="{1A873AD5-1F3C-4521-9847-14938DF0C2B1}">
          <cx:tx>
            <cx:txData>
              <cx:f>_xlchart.v1.18</cx:f>
              <cx:v>Volume area division bp improvement weighted run [%]</cx:v>
            </cx:txData>
          </cx:tx>
          <cx:dataId val="11"/>
          <cx:layoutPr>
            <cx:visibility meanLine="1" meanMarker="1" nonoutliers="0" outliers="1"/>
            <cx:statistics quartileMethod="exclusive"/>
          </cx:layoutPr>
        </cx:series>
        <cx:series layoutId="boxWhisker" uniqueId="{F5F2FB2C-B0B9-4143-98C6-03649858027A}">
          <cx:tx>
            <cx:txData>
              <cx:f>_xlchart.v1.20</cx:f>
              <cx:v>Floor area division sd improvement sd run[%]</cx:v>
            </cx:txData>
          </cx:tx>
          <cx:dataId val="12"/>
          <cx:layoutPr>
            <cx:visibility meanLine="1" meanMarker="1" nonoutliers="0" outliers="1"/>
            <cx:statistics quartileMethod="exclusive"/>
          </cx:layoutPr>
        </cx:series>
        <cx:series layoutId="boxWhisker" uniqueId="{C851E9BE-7362-4003-AC79-928BB24AFE7E}">
          <cx:tx>
            <cx:txData>
              <cx:f>_xlchart.v1.22</cx:f>
              <cx:v>Floor area division bp improvement sd run [%]</cx:v>
            </cx:txData>
          </cx:tx>
          <cx:dataId val="13"/>
          <cx:layoutPr>
            <cx:visibility meanLine="1" meanMarker="1" nonoutliers="0" outliers="1"/>
            <cx:statistics quartileMethod="exclusive"/>
          </cx:layoutPr>
        </cx:series>
        <cx:series layoutId="boxWhisker" uniqueId="{CFFFCFA2-8617-47E2-9D1C-92AA2F6A8894}">
          <cx:tx>
            <cx:txData>
              <cx:f>_xlchart.v1.24</cx:f>
              <cx:v>Floor area division sd improvement bp run[%]</cx:v>
            </cx:txData>
          </cx:tx>
          <cx:dataId val="14"/>
          <cx:layoutPr>
            <cx:visibility meanLine="1" meanMarker="1" nonoutliers="0" outliers="1"/>
            <cx:statistics quartileMethod="exclusive"/>
          </cx:layoutPr>
        </cx:series>
        <cx:series layoutId="boxWhisker" uniqueId="{B005ED58-0419-4C10-81A0-B2C66550A9D9}">
          <cx:tx>
            <cx:txData>
              <cx:f>_xlchart.v1.26</cx:f>
              <cx:v>Floor area division bp improvement bp run [%]</cx:v>
            </cx:txData>
          </cx:tx>
          <cx:dataId val="15"/>
          <cx:layoutPr>
            <cx:visibility meanLine="1" meanMarker="1" nonoutliers="0" outliers="1"/>
            <cx:statistics quartileMethod="exclusive"/>
          </cx:layoutPr>
        </cx:series>
        <cx:series layoutId="boxWhisker" uniqueId="{B91D03C1-EA61-408B-9CCE-D64F2DFF4B97}">
          <cx:tx>
            <cx:txData>
              <cx:f>_xlchart.v1.28</cx:f>
              <cx:v>Floor area division sd improvement weighted run[%]</cx:v>
            </cx:txData>
          </cx:tx>
          <cx:dataId val="16"/>
          <cx:layoutPr>
            <cx:visibility meanLine="1" meanMarker="1" nonoutliers="0" outliers="1"/>
            <cx:statistics quartileMethod="exclusive"/>
          </cx:layoutPr>
        </cx:series>
        <cx:series layoutId="boxWhisker" uniqueId="{93A40BA7-E3A1-4D76-B948-C44910C6AA91}">
          <cx:tx>
            <cx:txData>
              <cx:f>_xlchart.v1.30</cx:f>
              <cx:v>Floor area division bp improvement weighted run [%]</cx:v>
            </cx:txData>
          </cx:tx>
          <cx:dataId val="17"/>
          <cx:layoutPr>
            <cx:visibility meanLine="1" meanMarker="1" nonoutliers="0" outliers="1"/>
            <cx:statistics quartileMethod="exclusive"/>
          </cx:layoutPr>
        </cx:series>
        <cx:series layoutId="boxWhisker" uniqueId="{00000012-12E2-481D-A002-C6AE01E41FF5}">
          <cx:tx>
            <cx:txData>
              <cx:f>_xlchart.v1.32</cx:f>
              <cx:v>No division sd improvement sd run[%] No division bp improvement sd run [%]</cx:v>
            </cx:txData>
          </cx:tx>
          <cx:dataId val="18"/>
          <cx:layoutPr>
            <cx:statistics quartileMethod="exclusive"/>
          </cx:layoutPr>
        </cx:series>
        <cx:series layoutId="boxWhisker" uniqueId="{00000013-12E2-481D-A002-C6AE01E41FF5}">
          <cx:tx>
            <cx:txData>
              <cx:f>_xlchart.v1.34</cx:f>
              <cx:v>No division bp improvement sd run [%]</cx:v>
            </cx:txData>
          </cx:tx>
          <cx:dataId val="19"/>
          <cx:layoutPr>
            <cx:statistics quartileMethod="exclusive"/>
          </cx:layoutPr>
        </cx:series>
        <cx:series layoutId="boxWhisker" uniqueId="{00000014-12E2-481D-A002-C6AE01E41FF5}">
          <cx:tx>
            <cx:txData>
              <cx:f>_xlchart.v1.36</cx:f>
              <cx:v>No division sd improvement bp run[%]</cx:v>
            </cx:txData>
          </cx:tx>
          <cx:dataId val="20"/>
          <cx:layoutPr>
            <cx:statistics quartileMethod="exclusive"/>
          </cx:layoutPr>
        </cx:series>
        <cx:series layoutId="boxWhisker" uniqueId="{00000015-12E2-481D-A002-C6AE01E41FF5}">
          <cx:tx>
            <cx:txData>
              <cx:f>_xlchart.v1.38</cx:f>
              <cx:v>No division bp improvement bp run [%]</cx:v>
            </cx:txData>
          </cx:tx>
          <cx:dataId val="21"/>
          <cx:layoutPr>
            <cx:statistics quartileMethod="exclusive"/>
          </cx:layoutPr>
        </cx:series>
        <cx:series layoutId="boxWhisker" uniqueId="{00000016-12E2-481D-A002-C6AE01E41FF5}">
          <cx:tx>
            <cx:txData>
              <cx:f>_xlchart.v1.40</cx:f>
              <cx:v>No division sd improvement weighted run[%]</cx:v>
            </cx:txData>
          </cx:tx>
          <cx:dataId val="22"/>
          <cx:layoutPr>
            <cx:statistics quartileMethod="exclusive"/>
          </cx:layoutPr>
        </cx:series>
        <cx:series layoutId="boxWhisker" uniqueId="{00000017-12E2-481D-A002-C6AE01E41FF5}">
          <cx:tx>
            <cx:txData>
              <cx:f>_xlchart.v1.42</cx:f>
              <cx:v>No division bp improvement weighted run [%]</cx:v>
            </cx:txData>
          </cx:tx>
          <cx:dataId val="23"/>
          <cx:layoutPr>
            <cx:statistics quartileMethod="exclusive"/>
          </cx:layoutPr>
        </cx:series>
      </cx:plotAreaRegion>
      <cx:axis id="0">
        <cx:catScaling gapWidth="0.0500000007"/>
        <cx:title/>
        <cx:tickLabels/>
      </cx:axis>
      <cx:axis id="1">
        <cx:valScaling max="100"/>
        <cx:title>
          <cx:tx>
            <cx:txData>
              <cx:v>Improvement best vs. inital design performance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Improvement best vs. inital design performance [%]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  <cx:data id="1">
      <cx:numDim type="val">
        <cx:f>_xlchart.v1.49</cx:f>
      </cx:numDim>
    </cx:data>
    <cx:data id="2">
      <cx:numDim type="val">
        <cx:f>_xlchart.v1.51</cx:f>
      </cx:numDim>
    </cx:data>
    <cx:data id="3">
      <cx:numDim type="val">
        <cx:f>_xlchart.v1.53</cx:f>
      </cx:numDim>
    </cx:data>
  </cx:chartData>
  <cx:chart>
    <cx:title pos="t" align="ctr" overlay="0">
      <cx:tx>
        <cx:txData>
          <cx:v>Performance division comparison best vs. initial design on sd runs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Performance division comparison best vs. initial design on sd runs</a:t>
          </a:r>
        </a:p>
      </cx:txPr>
    </cx:title>
    <cx:plotArea>
      <cx:plotAreaRegion>
        <cx:series layoutId="boxWhisker" uniqueId="{83960673-2925-49AB-BDE6-6754FDB5B9EF}">
          <cx:tx>
            <cx:txData>
              <cx:f>_xlchart.v1.54</cx:f>
              <cx:v>Surface area division sd improvement sd run[%]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4E62168D-8BD7-4E47-9A24-C2C4C1519AD4}">
          <cx:tx>
            <cx:txData>
              <cx:f>_xlchart.v1.48</cx:f>
              <cx:v>Volume area division sd improvement sd run[%]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21A05520-2063-4E94-AFFB-5BCF34D01FE9}">
          <cx:tx>
            <cx:txData>
              <cx:f>_xlchart.v1.50</cx:f>
              <cx:v>Floor area division sd improvement sd run[%]</cx:v>
            </cx:txData>
          </cx:tx>
          <cx:spPr>
            <a:ln w="9525">
              <a:solidFill>
                <a:schemeClr val="accent1"/>
              </a:solidFill>
            </a:ln>
          </cx:spPr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1AB09A40-8190-4BA1-A43E-4976000481CC}">
          <cx:tx>
            <cx:txData>
              <cx:f>_xlchart.v1.52</cx:f>
              <cx:v>No division sd improvement sd run[%]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  <cx:legend pos="b" align="ctr" overlay="0"/>
  </cx:chart>
  <cx:spPr>
    <a:ln>
      <a:solidFill>
        <a:schemeClr val="accent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  <cx:data id="1">
      <cx:numDim type="val">
        <cx:f>_xlchart.v1.75</cx:f>
      </cx:numDim>
    </cx:data>
    <cx:data id="2">
      <cx:numDim type="val">
        <cx:f>_xlchart.v1.77</cx:f>
      </cx:numDim>
    </cx:data>
    <cx:data id="3">
      <cx:numDim type="val">
        <cx:f>_xlchart.v1.79</cx:f>
      </cx:numDim>
    </cx:data>
  </cx:chartData>
  <cx:chart>
    <cx:title pos="t" align="ctr" overlay="0">
      <cx:tx>
        <cx:txData>
          <cx:v>Performance division comparison  last vs. initial design on bp runs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Performance division comparison  last vs. initial design on bp runs</a:t>
          </a:r>
        </a:p>
      </cx:txPr>
    </cx:title>
    <cx:plotArea>
      <cx:plotAreaRegion>
        <cx:series layoutId="boxWhisker" uniqueId="{AD4635B5-A96F-4267-B9B2-84E47EE7D6D2}">
          <cx:tx>
            <cx:txData>
              <cx:f>_xlchart.v1.72</cx:f>
              <cx:v>Surface area division bp improvement bp run [%]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F2FFB430-E7E2-4049-AC60-17B7CB20AF56}">
          <cx:tx>
            <cx:txData>
              <cx:f>_xlchart.v1.74</cx:f>
              <cx:v>Volume area division bp improvement bp run [%]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F2EF502C-9F2D-434B-9AC7-FB4A8E5280E0}">
          <cx:tx>
            <cx:txData>
              <cx:f>_xlchart.v1.76</cx:f>
              <cx:v>Floor area division bp improvement bp run [%]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729B749D-D9B5-4A13-90F2-78EEEE1A477C}">
          <cx:tx>
            <cx:txData>
              <cx:f>_xlchart.v1.78</cx:f>
              <cx:v>No division bp improvement bp run [%]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  <cx:data id="1">
      <cx:numDim type="val">
        <cx:f>_xlchart.v1.57</cx:f>
      </cx:numDim>
    </cx:data>
    <cx:data id="2">
      <cx:numDim type="val">
        <cx:f>_xlchart.v1.59</cx:f>
      </cx:numDim>
    </cx:data>
    <cx:data id="3">
      <cx:numDim type="val">
        <cx:f>_xlchart.v1.61</cx:f>
      </cx:numDim>
    </cx:data>
  </cx:chartData>
  <cx:chart>
    <cx:title pos="t" align="ctr" overlay="0">
      <cx:tx>
        <cx:txData>
          <cx:v>Performance division comparison last vs. initial design on sd runs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Performance division comparison last vs. initial design on sd runs</a:t>
          </a:r>
        </a:p>
      </cx:txPr>
    </cx:title>
    <cx:plotArea>
      <cx:plotAreaRegion>
        <cx:series layoutId="boxWhisker" uniqueId="{A1B0B57C-C23B-48C3-91D6-3A5F414E164A}">
          <cx:tx>
            <cx:txData>
              <cx:f>_xlchart.v1.62</cx:f>
              <cx:v>Surface area division sd improvement last vs. initial [%]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D726B8AE-FEEF-47BE-BB9A-6071CB9182D3}">
          <cx:tx>
            <cx:txData>
              <cx:f>_xlchart.v1.56</cx:f>
              <cx:v>Volume area division sd improvement last vs. initial [%]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3DD97FF0-C39B-4D39-8072-336C1B0D183E}">
          <cx:tx>
            <cx:txData>
              <cx:f>_xlchart.v1.58</cx:f>
              <cx:v>Floor area division sd improvement last vs. initial [%]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41BDBAC1-DFAB-4011-B582-DFC80452F05D}">
          <cx:tx>
            <cx:txData>
              <cx:f>_xlchart.v1.60</cx:f>
              <cx:v>no division sd improvement last vs. initial [%]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0.0500000007"/>
        <cx:tickLabels/>
      </cx:axis>
      <cx:axis id="1">
        <cx:valScaling max="100" min="-350"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_xlchart.v1.67</cx:f>
      </cx:numDim>
    </cx:data>
    <cx:data id="2">
      <cx:numDim type="val">
        <cx:f>_xlchart.v1.69</cx:f>
      </cx:numDim>
    </cx:data>
    <cx:data id="3">
      <cx:numDim type="val">
        <cx:f>_xlchart.v1.71</cx:f>
      </cx:numDim>
    </cx:data>
  </cx:chartData>
  <cx:chart>
    <cx:title pos="t" align="ctr" overlay="0">
      <cx:tx>
        <cx:txData>
          <cx:v>Performance division comparison last vs. initial design on bp runs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Performance division comparison last vs. initial design on bp runs</a:t>
          </a:r>
        </a:p>
      </cx:txPr>
    </cx:title>
    <cx:plotArea>
      <cx:plotAreaRegion>
        <cx:series layoutId="boxWhisker" uniqueId="{283FC4D0-F761-4492-A063-F2EB6572FF2E}">
          <cx:tx>
            <cx:txData>
              <cx:f>_xlchart.v1.64</cx:f>
              <cx:v>Surface area division bp improvement last vs. initial [%]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36455C76-3315-42F9-BC82-DE1B4E59BC9D}">
          <cx:tx>
            <cx:txData>
              <cx:f>_xlchart.v1.66</cx:f>
              <cx:v>Volume division bp improvement last vs. initial [%]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F72570FA-6D84-4822-BE04-AA4EE0CFE0A9}">
          <cx:tx>
            <cx:txData>
              <cx:f>_xlchart.v1.68</cx:f>
              <cx:v>Floor area division bp improvement last vs. initial [%]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9C8B2A34-9A00-4C17-AB7F-84F1BDE26963}">
          <cx:tx>
            <cx:txData>
              <cx:f>_xlchart.v1.70</cx:f>
              <cx:v>No division bp improvement last vs. initial [%]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_xlchart.v1.101</cx:f>
      </cx:numDim>
    </cx:data>
    <cx:data id="1">
      <cx:numDim type="val">
        <cx:f>_xlchart.v1.103</cx:f>
      </cx:numDim>
    </cx:data>
    <cx:data id="2">
      <cx:numDim type="val">
        <cx:f>_xlchart.v1.105</cx:f>
      </cx:numDim>
    </cx:data>
    <cx:data id="3">
      <cx:numDim type="val">
        <cx:f>_xlchart.v1.107</cx:f>
      </cx:numDim>
    </cx:data>
    <cx:data id="4">
      <cx:numDim type="val">
        <cx:f>_xlchart.v1.109</cx:f>
      </cx:numDim>
    </cx:data>
    <cx:data id="5">
      <cx:numDim type="val">
        <cx:f>_xlchart.v1.111</cx:f>
      </cx:numDim>
    </cx:data>
  </cx:chartData>
  <cx:chart>
    <cx:title pos="t" align="ctr" overlay="0">
      <cx:tx>
        <cx:txData>
          <cx:v>Overvieuw of best vs. initial performance improvement per interation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Overvieuw of best vs. initial performance improvement per interation</a:t>
          </a:r>
        </a:p>
      </cx:txPr>
    </cx:title>
    <cx:plotArea>
      <cx:plotAreaRegion>
        <cx:series layoutId="boxWhisker" uniqueId="{F5F2FB2C-B0B9-4143-98C6-03649858027A}" formatIdx="12">
          <cx:tx>
            <cx:txData>
              <cx:f>_xlchart.v1.100</cx:f>
              <cx:v>Floor area division sd improvement sd run[%]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C851E9BE-7362-4003-AC79-928BB24AFE7E}" formatIdx="13">
          <cx:tx>
            <cx:txData>
              <cx:f>_xlchart.v1.102</cx:f>
              <cx:v>Floor area division bp improvement sd run [%]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CFFFCFA2-8617-47E2-9D1C-92AA2F6A8894}" formatIdx="14">
          <cx:tx>
            <cx:txData>
              <cx:f>_xlchart.v1.104</cx:f>
              <cx:v>Floor area division sd improvement bp run[%]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B005ED58-0419-4C10-81A0-B2C66550A9D9}" formatIdx="15">
          <cx:tx>
            <cx:txData>
              <cx:f>_xlchart.v1.106</cx:f>
              <cx:v>Floor area division bp improvement bp run [%]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  <cx:series layoutId="boxWhisker" uniqueId="{B91D03C1-EA61-408B-9CCE-D64F2DFF4B97}" formatIdx="16">
          <cx:tx>
            <cx:txData>
              <cx:f>_xlchart.v1.108</cx:f>
              <cx:v>Floor area division sd improvement weighted run[%]</cx:v>
            </cx:txData>
          </cx:tx>
          <cx:dataId val="4"/>
          <cx:layoutPr>
            <cx:visibility meanLine="1" meanMarker="1" nonoutliers="0" outliers="1"/>
            <cx:statistics quartileMethod="exclusive"/>
          </cx:layoutPr>
        </cx:series>
        <cx:series layoutId="boxWhisker" uniqueId="{93A40BA7-E3A1-4D76-B948-C44910C6AA91}" formatIdx="17">
          <cx:tx>
            <cx:txData>
              <cx:f>_xlchart.v1.110</cx:f>
              <cx:v>Floor area division bp improvement weighted run [%]</cx:v>
            </cx:txData>
          </cx:tx>
          <cx:dataId val="5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0.0500000007"/>
        <cx:title/>
        <cx:tickLabels/>
      </cx:axis>
      <cx:axis id="1">
        <cx:valScaling max="100"/>
        <cx:title>
          <cx:tx>
            <cx:txData>
              <cx:v>Improvement best vs. inital design performance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Improvement best vs. inital design performance [%]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microsoft.com/office/2014/relationships/chartEx" Target="../charts/chartEx3.xml"/><Relationship Id="rId7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1.xml"/><Relationship Id="rId5" Type="http://schemas.microsoft.com/office/2014/relationships/chartEx" Target="../charts/chartEx5.xml"/><Relationship Id="rId10" Type="http://schemas.microsoft.com/office/2014/relationships/chartEx" Target="../charts/chartEx6.xml"/><Relationship Id="rId4" Type="http://schemas.microsoft.com/office/2014/relationships/chartEx" Target="../charts/chartEx4.xml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175258</xdr:colOff>
      <xdr:row>29</xdr:row>
      <xdr:rowOff>144780</xdr:rowOff>
    </xdr:from>
    <xdr:to>
      <xdr:col>25</xdr:col>
      <xdr:colOff>274320</xdr:colOff>
      <xdr:row>72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40E562F-E629-4AAB-E1B1-730744E1C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698" y="7277100"/>
              <a:ext cx="10934702" cy="867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556257</xdr:colOff>
      <xdr:row>29</xdr:row>
      <xdr:rowOff>132396</xdr:rowOff>
    </xdr:from>
    <xdr:to>
      <xdr:col>30</xdr:col>
      <xdr:colOff>95250</xdr:colOff>
      <xdr:row>52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BC2F559-E774-7588-E8CC-9BB79E026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08337" y="7264716"/>
              <a:ext cx="3150873" cy="51254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189549</xdr:colOff>
      <xdr:row>29</xdr:row>
      <xdr:rowOff>120967</xdr:rowOff>
    </xdr:from>
    <xdr:to>
      <xdr:col>33</xdr:col>
      <xdr:colOff>440055</xdr:colOff>
      <xdr:row>52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41141FA-5E03-30D1-31D5-E5E81474DE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53509" y="7253287"/>
              <a:ext cx="2909886" cy="5112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705802</xdr:colOff>
      <xdr:row>29</xdr:row>
      <xdr:rowOff>132396</xdr:rowOff>
    </xdr:from>
    <xdr:to>
      <xdr:col>36</xdr:col>
      <xdr:colOff>739140</xdr:colOff>
      <xdr:row>52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568E208-0941-26ED-3648-F4F57FAF02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29142" y="7264716"/>
              <a:ext cx="3332798" cy="50053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37</xdr:col>
      <xdr:colOff>953</xdr:colOff>
      <xdr:row>29</xdr:row>
      <xdr:rowOff>117157</xdr:rowOff>
    </xdr:from>
    <xdr:to>
      <xdr:col>41</xdr:col>
      <xdr:colOff>659131</xdr:colOff>
      <xdr:row>51</xdr:row>
      <xdr:rowOff>173355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528F73B-48F6-06E0-5CFC-AEDC33DD65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84813" y="7249477"/>
              <a:ext cx="3469958" cy="50015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67626</xdr:colOff>
      <xdr:row>72</xdr:row>
      <xdr:rowOff>151446</xdr:rowOff>
    </xdr:from>
    <xdr:to>
      <xdr:col>21</xdr:col>
      <xdr:colOff>201929</xdr:colOff>
      <xdr:row>101</xdr:row>
      <xdr:rowOff>93344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8A5226-17D1-A4CD-DBDD-3E0FA779A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50481</xdr:colOff>
      <xdr:row>102</xdr:row>
      <xdr:rowOff>88582</xdr:rowOff>
    </xdr:from>
    <xdr:to>
      <xdr:col>21</xdr:col>
      <xdr:colOff>196215</xdr:colOff>
      <xdr:row>127</xdr:row>
      <xdr:rowOff>81915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7420027-3405-1965-0185-82346A03B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381952</xdr:colOff>
      <xdr:row>72</xdr:row>
      <xdr:rowOff>151447</xdr:rowOff>
    </xdr:from>
    <xdr:to>
      <xdr:col>29</xdr:col>
      <xdr:colOff>516255</xdr:colOff>
      <xdr:row>101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52555F-FD19-AC67-FCD5-1CFFF134B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402907</xdr:colOff>
      <xdr:row>102</xdr:row>
      <xdr:rowOff>73342</xdr:rowOff>
    </xdr:from>
    <xdr:to>
      <xdr:col>29</xdr:col>
      <xdr:colOff>550545</xdr:colOff>
      <xdr:row>128</xdr:row>
      <xdr:rowOff>40005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97C5E9E-FD52-7B59-48CB-B2D199900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243840</xdr:colOff>
      <xdr:row>30</xdr:row>
      <xdr:rowOff>396240</xdr:rowOff>
    </xdr:from>
    <xdr:to>
      <xdr:col>47</xdr:col>
      <xdr:colOff>998220</xdr:colOff>
      <xdr:row>51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FB606E-E16B-49AB-A104-FDA9ED20A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09100" y="7711440"/>
              <a:ext cx="6705600" cy="438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657"/>
  <sheetViews>
    <sheetView tabSelected="1" topLeftCell="AN31" workbookViewId="0">
      <selection activeCell="AW48" sqref="AW48"/>
    </sheetView>
  </sheetViews>
  <sheetFormatPr defaultRowHeight="14.4" x14ac:dyDescent="0.3"/>
  <cols>
    <col min="1" max="1" width="18" bestFit="1" customWidth="1"/>
    <col min="2" max="7" width="10.44140625" customWidth="1"/>
    <col min="8" max="8" width="11.5546875" bestFit="1" customWidth="1"/>
    <col min="9" max="9" width="9.109375" customWidth="1"/>
    <col min="10" max="10" width="12.5546875" bestFit="1" customWidth="1"/>
    <col min="11" max="11" width="11.88671875" customWidth="1"/>
    <col min="12" max="12" width="14.44140625" customWidth="1"/>
    <col min="13" max="13" width="14.77734375" customWidth="1"/>
    <col min="14" max="14" width="8.109375" bestFit="1" customWidth="1"/>
    <col min="15" max="15" width="13.44140625" customWidth="1"/>
    <col min="16" max="16" width="9.88671875" bestFit="1" customWidth="1"/>
    <col min="17" max="17" width="9.21875" bestFit="1" customWidth="1"/>
    <col min="18" max="18" width="11.5546875" customWidth="1"/>
    <col min="19" max="19" width="10.33203125" customWidth="1"/>
    <col min="20" max="20" width="14.6640625" bestFit="1" customWidth="1"/>
    <col min="21" max="21" width="11.5546875" bestFit="1" customWidth="1"/>
    <col min="22" max="22" width="15.6640625" bestFit="1" customWidth="1"/>
    <col min="23" max="23" width="11.5546875" bestFit="1" customWidth="1"/>
    <col min="24" max="24" width="15.6640625" bestFit="1" customWidth="1"/>
    <col min="25" max="25" width="11.5546875" bestFit="1" customWidth="1"/>
    <col min="27" max="27" width="12.77734375" customWidth="1"/>
    <col min="28" max="28" width="11.21875" bestFit="1" customWidth="1"/>
    <col min="29" max="29" width="10.21875" bestFit="1" customWidth="1"/>
    <col min="30" max="31" width="9.5546875" bestFit="1" customWidth="1"/>
    <col min="32" max="32" width="16.6640625" bestFit="1" customWidth="1"/>
    <col min="33" max="33" width="12.5546875" bestFit="1" customWidth="1"/>
    <col min="34" max="34" width="17.77734375" bestFit="1" customWidth="1"/>
    <col min="35" max="35" width="12.5546875" bestFit="1" customWidth="1"/>
    <col min="36" max="36" width="17.77734375" bestFit="1" customWidth="1"/>
    <col min="37" max="37" width="12.5546875" bestFit="1" customWidth="1"/>
    <col min="39" max="39" width="12.88671875" customWidth="1"/>
    <col min="40" max="40" width="10.21875" bestFit="1" customWidth="1"/>
    <col min="41" max="41" width="9" bestFit="1" customWidth="1"/>
    <col min="42" max="42" width="11.21875" customWidth="1"/>
    <col min="43" max="43" width="11.88671875" customWidth="1"/>
    <col min="44" max="44" width="20.77734375" style="10" bestFit="1" customWidth="1"/>
    <col min="45" max="45" width="16.6640625" bestFit="1" customWidth="1"/>
    <col min="46" max="46" width="20.77734375" bestFit="1" customWidth="1"/>
    <col min="47" max="47" width="16.6640625" bestFit="1" customWidth="1"/>
    <col min="48" max="48" width="20.77734375" bestFit="1" customWidth="1"/>
    <col min="49" max="49" width="16.6640625" bestFit="1" customWidth="1"/>
    <col min="51" max="51" width="12.33203125" customWidth="1"/>
    <col min="52" max="52" width="9.21875" bestFit="1" customWidth="1"/>
    <col min="53" max="55" width="9" bestFit="1" customWidth="1"/>
    <col min="56" max="56" width="13.6640625" bestFit="1" customWidth="1"/>
    <col min="57" max="57" width="10.5546875" bestFit="1" customWidth="1"/>
    <col min="58" max="58" width="14.6640625" bestFit="1" customWidth="1"/>
    <col min="59" max="59" width="10.5546875" bestFit="1" customWidth="1"/>
    <col min="60" max="60" width="14.6640625" bestFit="1" customWidth="1"/>
    <col min="61" max="61" width="10.5546875" bestFit="1" customWidth="1"/>
    <col min="64" max="64" width="9.21875" bestFit="1" customWidth="1"/>
    <col min="65" max="67" width="9" bestFit="1" customWidth="1"/>
    <col min="68" max="68" width="13.6640625" bestFit="1" customWidth="1"/>
    <col min="69" max="69" width="10.5546875" bestFit="1" customWidth="1"/>
    <col min="70" max="70" width="14.6640625" bestFit="1" customWidth="1"/>
    <col min="71" max="71" width="10.5546875" customWidth="1"/>
    <col min="72" max="72" width="14.6640625" bestFit="1" customWidth="1"/>
    <col min="73" max="73" width="10.5546875" customWidth="1"/>
    <col min="76" max="76" width="9.21875" bestFit="1" customWidth="1"/>
    <col min="77" max="79" width="9" bestFit="1" customWidth="1"/>
    <col min="80" max="80" width="12.5546875" style="10" bestFit="1" customWidth="1"/>
    <col min="81" max="81" width="9" customWidth="1"/>
    <col min="82" max="82" width="12.5546875" bestFit="1" customWidth="1"/>
    <col min="83" max="83" width="9" customWidth="1"/>
    <col min="84" max="84" width="12.5546875" bestFit="1" customWidth="1"/>
    <col min="85" max="85" width="9" customWidth="1"/>
    <col min="88" max="88" width="9.21875" bestFit="1" customWidth="1"/>
    <col min="89" max="91" width="9" bestFit="1" customWidth="1"/>
    <col min="92" max="92" width="13.6640625" bestFit="1" customWidth="1"/>
    <col min="93" max="93" width="10.5546875" bestFit="1" customWidth="1"/>
    <col min="94" max="94" width="14.6640625" bestFit="1" customWidth="1"/>
    <col min="95" max="95" width="10.5546875" customWidth="1"/>
    <col min="96" max="96" width="14.6640625" bestFit="1" customWidth="1"/>
    <col min="97" max="97" width="10.5546875" customWidth="1"/>
    <col min="100" max="100" width="9.21875" bestFit="1" customWidth="1"/>
    <col min="101" max="103" width="9" bestFit="1" customWidth="1"/>
    <col min="104" max="104" width="13.6640625" bestFit="1" customWidth="1"/>
    <col min="105" max="105" width="10.5546875" bestFit="1" customWidth="1"/>
    <col min="106" max="106" width="14.6640625" bestFit="1" customWidth="1"/>
    <col min="107" max="107" width="10.5546875" customWidth="1"/>
    <col min="108" max="108" width="13.6640625" bestFit="1" customWidth="1"/>
    <col min="109" max="109" width="10.5546875" bestFit="1" customWidth="1"/>
    <col min="112" max="112" width="9.21875" bestFit="1" customWidth="1"/>
    <col min="113" max="115" width="9" bestFit="1" customWidth="1"/>
    <col min="116" max="116" width="12.5546875" style="10" bestFit="1" customWidth="1"/>
    <col min="117" max="117" width="9" customWidth="1"/>
    <col min="118" max="118" width="12.5546875" bestFit="1" customWidth="1"/>
    <col min="119" max="119" width="9" customWidth="1"/>
    <col min="120" max="120" width="12.5546875" bestFit="1" customWidth="1"/>
    <col min="121" max="121" width="9" customWidth="1"/>
    <col min="124" max="124" width="9.21875" bestFit="1" customWidth="1"/>
    <col min="125" max="127" width="9" bestFit="1" customWidth="1"/>
    <col min="128" max="128" width="14.6640625" bestFit="1" customWidth="1"/>
    <col min="129" max="129" width="10.5546875" bestFit="1" customWidth="1"/>
    <col min="130" max="130" width="14.6640625" bestFit="1" customWidth="1"/>
    <col min="131" max="131" width="10.5546875" bestFit="1" customWidth="1"/>
    <col min="132" max="132" width="14.6640625" bestFit="1" customWidth="1"/>
    <col min="133" max="133" width="10.5546875" bestFit="1" customWidth="1"/>
    <col min="136" max="136" width="9.21875" bestFit="1" customWidth="1"/>
    <col min="137" max="139" width="9" bestFit="1" customWidth="1"/>
    <col min="140" max="140" width="13.6640625" bestFit="1" customWidth="1"/>
    <col min="141" max="141" width="10.5546875" bestFit="1" customWidth="1"/>
    <col min="142" max="142" width="13.6640625" bestFit="1" customWidth="1"/>
    <col min="143" max="143" width="10.5546875" bestFit="1" customWidth="1"/>
    <col min="144" max="144" width="13.6640625" bestFit="1" customWidth="1"/>
    <col min="145" max="145" width="10.5546875" bestFit="1" customWidth="1"/>
    <col min="148" max="148" width="9.21875" bestFit="1" customWidth="1"/>
    <col min="149" max="151" width="9" bestFit="1" customWidth="1"/>
    <col min="152" max="152" width="9" customWidth="1"/>
    <col min="153" max="153" width="11.88671875" style="10" customWidth="1"/>
    <col min="154" max="154" width="11.5546875" bestFit="1" customWidth="1"/>
    <col min="155" max="155" width="9.109375" bestFit="1" customWidth="1"/>
    <col min="156" max="156" width="12.5546875" bestFit="1" customWidth="1"/>
    <col min="157" max="157" width="9.109375" bestFit="1" customWidth="1"/>
    <col min="158" max="158" width="12.5546875" bestFit="1" customWidth="1"/>
    <col min="159" max="159" width="9.109375" bestFit="1" customWidth="1"/>
    <col min="162" max="162" width="12.21875" bestFit="1" customWidth="1"/>
    <col min="163" max="165" width="9" bestFit="1" customWidth="1"/>
    <col min="166" max="166" width="13.6640625" bestFit="1" customWidth="1"/>
    <col min="167" max="167" width="10.5546875" bestFit="1" customWidth="1"/>
    <col min="168" max="168" width="14.6640625" bestFit="1" customWidth="1"/>
    <col min="169" max="169" width="10.5546875" bestFit="1" customWidth="1"/>
    <col min="170" max="170" width="15.6640625" bestFit="1" customWidth="1"/>
    <col min="171" max="171" width="10.5546875" bestFit="1" customWidth="1"/>
    <col min="174" max="174" width="9.21875" bestFit="1" customWidth="1"/>
    <col min="175" max="177" width="9" bestFit="1" customWidth="1"/>
    <col min="178" max="178" width="13.6640625" bestFit="1" customWidth="1"/>
    <col min="179" max="179" width="9.5546875" bestFit="1" customWidth="1"/>
    <col min="180" max="180" width="13.6640625" bestFit="1" customWidth="1"/>
    <col min="181" max="181" width="9.5546875" bestFit="1" customWidth="1"/>
    <col min="182" max="182" width="14.6640625" bestFit="1" customWidth="1"/>
    <col min="183" max="183" width="9.5546875" bestFit="1" customWidth="1"/>
    <col min="184" max="185" width="9" bestFit="1" customWidth="1"/>
    <col min="186" max="186" width="10.21875" bestFit="1" customWidth="1"/>
    <col min="187" max="189" width="9" bestFit="1" customWidth="1"/>
  </cols>
  <sheetData>
    <row r="1" spans="1:194" x14ac:dyDescent="0.3">
      <c r="K1" s="7" t="s">
        <v>39</v>
      </c>
      <c r="AR1"/>
      <c r="AW1" s="7" t="s">
        <v>43</v>
      </c>
      <c r="CB1"/>
      <c r="CG1" s="7" t="s">
        <v>44</v>
      </c>
      <c r="DL1"/>
      <c r="DQ1" s="7" t="s">
        <v>49</v>
      </c>
      <c r="EW1"/>
      <c r="FB1" s="30" t="s">
        <v>93</v>
      </c>
    </row>
    <row r="2" spans="1:194" s="5" customFormat="1" ht="57.6" x14ac:dyDescent="0.3">
      <c r="K2" s="8" t="s">
        <v>0</v>
      </c>
      <c r="M2" s="5" t="s">
        <v>1</v>
      </c>
      <c r="O2" s="5" t="s">
        <v>2</v>
      </c>
      <c r="Y2" s="5" t="s">
        <v>3</v>
      </c>
      <c r="AA2" s="5" t="s">
        <v>4</v>
      </c>
      <c r="AC2" s="5" t="s">
        <v>5</v>
      </c>
      <c r="AK2" s="5" t="s">
        <v>6</v>
      </c>
      <c r="AM2" s="5" t="s">
        <v>7</v>
      </c>
      <c r="AO2" s="5" t="s">
        <v>8</v>
      </c>
      <c r="AW2" s="8" t="s">
        <v>0</v>
      </c>
      <c r="AY2" s="5" t="s">
        <v>1</v>
      </c>
      <c r="BA2" s="5" t="s">
        <v>2</v>
      </c>
      <c r="BI2" s="5" t="s">
        <v>3</v>
      </c>
      <c r="BK2" s="5" t="s">
        <v>4</v>
      </c>
      <c r="BM2" s="5" t="s">
        <v>5</v>
      </c>
      <c r="BU2" s="5" t="s">
        <v>6</v>
      </c>
      <c r="BW2" s="5" t="s">
        <v>7</v>
      </c>
      <c r="BY2" s="5" t="s">
        <v>8</v>
      </c>
      <c r="CG2" s="8" t="s">
        <v>0</v>
      </c>
      <c r="CI2" s="5" t="s">
        <v>1</v>
      </c>
      <c r="CK2" s="5" t="s">
        <v>2</v>
      </c>
      <c r="CS2" s="5" t="s">
        <v>3</v>
      </c>
      <c r="CU2" s="5" t="s">
        <v>4</v>
      </c>
      <c r="CW2" s="5" t="s">
        <v>5</v>
      </c>
      <c r="DE2" s="5" t="s">
        <v>6</v>
      </c>
      <c r="DG2" s="5" t="s">
        <v>7</v>
      </c>
      <c r="DI2" s="5" t="s">
        <v>8</v>
      </c>
      <c r="DQ2" s="18" t="s">
        <v>0</v>
      </c>
      <c r="DR2" s="4"/>
      <c r="DS2" s="4" t="s">
        <v>1</v>
      </c>
      <c r="DT2" s="4"/>
      <c r="DU2" s="4" t="s">
        <v>2</v>
      </c>
      <c r="DV2" s="4"/>
      <c r="DW2" s="4"/>
      <c r="DX2" s="4"/>
      <c r="DY2" s="4"/>
      <c r="DZ2" s="4"/>
      <c r="EA2" s="4"/>
      <c r="EB2" s="4"/>
      <c r="EC2" s="4" t="s">
        <v>3</v>
      </c>
      <c r="ED2" s="4"/>
      <c r="EE2" s="4" t="s">
        <v>4</v>
      </c>
      <c r="EF2" s="4"/>
      <c r="EG2" s="4" t="s">
        <v>5</v>
      </c>
      <c r="EH2" s="4"/>
      <c r="EI2" s="4"/>
      <c r="EJ2" s="4"/>
      <c r="EK2" s="4"/>
      <c r="EL2" s="4"/>
      <c r="EM2" s="4"/>
      <c r="EN2" s="4"/>
      <c r="EO2" s="4" t="s">
        <v>6</v>
      </c>
      <c r="EP2" s="4"/>
      <c r="EQ2" s="4" t="s">
        <v>7</v>
      </c>
      <c r="ER2" s="4"/>
      <c r="ES2" s="4" t="s">
        <v>8</v>
      </c>
      <c r="ET2" s="4"/>
      <c r="EU2" s="4"/>
      <c r="EV2" s="4"/>
      <c r="EW2" s="4"/>
      <c r="EX2" s="4"/>
      <c r="EY2" s="4"/>
      <c r="EZ2" s="4"/>
      <c r="FA2" s="4"/>
      <c r="FB2" s="18"/>
      <c r="FC2" s="4" t="s">
        <v>0</v>
      </c>
      <c r="FD2" s="4"/>
      <c r="FE2" s="4" t="s">
        <v>1</v>
      </c>
      <c r="FF2" s="4"/>
      <c r="FG2" s="4" t="s">
        <v>2</v>
      </c>
      <c r="FH2" s="4"/>
      <c r="FI2" s="4"/>
      <c r="FJ2" s="4"/>
      <c r="FK2" s="4"/>
      <c r="FL2" s="4"/>
      <c r="FM2" s="4"/>
      <c r="FN2" s="4"/>
      <c r="FO2" s="4" t="s">
        <v>3</v>
      </c>
      <c r="FP2" s="4"/>
      <c r="FQ2" s="4" t="s">
        <v>4</v>
      </c>
      <c r="FR2" s="4"/>
      <c r="FS2" s="4" t="s">
        <v>5</v>
      </c>
      <c r="FT2" s="4"/>
      <c r="FU2" s="4"/>
      <c r="FV2" s="4"/>
      <c r="FW2" s="4"/>
      <c r="FX2" s="4"/>
      <c r="FY2" s="4"/>
      <c r="FZ2" s="4"/>
      <c r="GA2" s="4" t="s">
        <v>6</v>
      </c>
      <c r="GB2" s="4"/>
      <c r="GC2" s="4" t="s">
        <v>7</v>
      </c>
      <c r="GD2" s="4"/>
      <c r="GE2" s="4" t="s">
        <v>8</v>
      </c>
      <c r="GF2" s="4"/>
      <c r="GG2" s="4"/>
      <c r="GH2" s="4"/>
      <c r="GI2" s="4"/>
      <c r="GJ2" s="4"/>
      <c r="GK2" s="4"/>
      <c r="GL2" s="4"/>
    </row>
    <row r="3" spans="1:194" s="13" customFormat="1" ht="115.2" x14ac:dyDescent="0.3">
      <c r="A3" s="13" t="s">
        <v>40</v>
      </c>
      <c r="B3" s="13" t="s">
        <v>74</v>
      </c>
      <c r="C3" s="13" t="s">
        <v>41</v>
      </c>
      <c r="D3" s="13" t="s">
        <v>75</v>
      </c>
      <c r="E3" s="13" t="s">
        <v>76</v>
      </c>
      <c r="F3" s="13" t="s">
        <v>94</v>
      </c>
      <c r="I3" s="13" t="s">
        <v>42</v>
      </c>
      <c r="J3" s="13" t="s">
        <v>77</v>
      </c>
      <c r="K3" s="14" t="s">
        <v>9</v>
      </c>
      <c r="L3" s="13" t="s">
        <v>10</v>
      </c>
      <c r="M3" s="13" t="s">
        <v>9</v>
      </c>
      <c r="N3" s="13" t="s">
        <v>10</v>
      </c>
      <c r="O3" s="13" t="s">
        <v>9</v>
      </c>
      <c r="P3" s="13" t="s">
        <v>10</v>
      </c>
      <c r="Q3" s="13" t="s">
        <v>11</v>
      </c>
      <c r="R3" s="13" t="s">
        <v>12</v>
      </c>
      <c r="S3" s="13" t="s">
        <v>80</v>
      </c>
      <c r="T3" s="13" t="s">
        <v>92</v>
      </c>
      <c r="U3" s="13" t="s">
        <v>50</v>
      </c>
      <c r="V3" s="13" t="s">
        <v>51</v>
      </c>
      <c r="W3" s="31" t="s">
        <v>96</v>
      </c>
      <c r="X3" s="31" t="s">
        <v>95</v>
      </c>
      <c r="Y3" s="13" t="s">
        <v>9</v>
      </c>
      <c r="Z3" s="13" t="s">
        <v>10</v>
      </c>
      <c r="AA3" s="13" t="s">
        <v>9</v>
      </c>
      <c r="AB3" s="13" t="s">
        <v>10</v>
      </c>
      <c r="AC3" s="13" t="s">
        <v>9</v>
      </c>
      <c r="AD3" s="13" t="s">
        <v>10</v>
      </c>
      <c r="AE3" s="13" t="s">
        <v>11</v>
      </c>
      <c r="AF3" s="13" t="s">
        <v>12</v>
      </c>
      <c r="AG3" s="13" t="s">
        <v>80</v>
      </c>
      <c r="AH3" s="13" t="s">
        <v>92</v>
      </c>
      <c r="AI3" s="13" t="s">
        <v>52</v>
      </c>
      <c r="AJ3" s="13" t="s">
        <v>53</v>
      </c>
      <c r="AK3" s="13" t="s">
        <v>9</v>
      </c>
      <c r="AL3" s="13" t="s">
        <v>10</v>
      </c>
      <c r="AM3" s="13" t="s">
        <v>9</v>
      </c>
      <c r="AN3" s="13" t="s">
        <v>10</v>
      </c>
      <c r="AO3" s="13" t="s">
        <v>9</v>
      </c>
      <c r="AP3" s="13" t="s">
        <v>10</v>
      </c>
      <c r="AQ3" s="13" t="s">
        <v>11</v>
      </c>
      <c r="AR3" s="13" t="s">
        <v>12</v>
      </c>
      <c r="AS3" s="13" t="s">
        <v>80</v>
      </c>
      <c r="AT3" s="13" t="s">
        <v>81</v>
      </c>
      <c r="AU3" s="13" t="s">
        <v>54</v>
      </c>
      <c r="AV3" s="13" t="s">
        <v>55</v>
      </c>
      <c r="AW3" s="14" t="s">
        <v>9</v>
      </c>
      <c r="AX3" s="13" t="s">
        <v>10</v>
      </c>
      <c r="AY3" s="13" t="s">
        <v>9</v>
      </c>
      <c r="AZ3" s="13" t="s">
        <v>10</v>
      </c>
      <c r="BA3" s="13" t="s">
        <v>9</v>
      </c>
      <c r="BB3" s="13" t="s">
        <v>10</v>
      </c>
      <c r="BC3" s="13" t="s">
        <v>11</v>
      </c>
      <c r="BD3" s="13" t="s">
        <v>12</v>
      </c>
      <c r="BE3" s="13" t="s">
        <v>82</v>
      </c>
      <c r="BF3" s="13" t="s">
        <v>83</v>
      </c>
      <c r="BG3" s="13" t="s">
        <v>58</v>
      </c>
      <c r="BH3" s="13" t="s">
        <v>59</v>
      </c>
      <c r="BI3" s="13" t="s">
        <v>9</v>
      </c>
      <c r="BJ3" s="13" t="s">
        <v>10</v>
      </c>
      <c r="BK3" s="13" t="s">
        <v>9</v>
      </c>
      <c r="BL3" s="13" t="s">
        <v>10</v>
      </c>
      <c r="BM3" s="13" t="s">
        <v>9</v>
      </c>
      <c r="BN3" s="13" t="s">
        <v>10</v>
      </c>
      <c r="BO3" s="13" t="s">
        <v>11</v>
      </c>
      <c r="BP3" s="13" t="s">
        <v>12</v>
      </c>
      <c r="BQ3" s="13" t="s">
        <v>84</v>
      </c>
      <c r="BR3" s="13" t="s">
        <v>85</v>
      </c>
      <c r="BS3" s="13" t="s">
        <v>60</v>
      </c>
      <c r="BT3" s="13" t="s">
        <v>61</v>
      </c>
      <c r="BU3" s="13" t="s">
        <v>9</v>
      </c>
      <c r="BV3" s="13" t="s">
        <v>10</v>
      </c>
      <c r="BW3" s="13" t="s">
        <v>9</v>
      </c>
      <c r="BX3" s="13" t="s">
        <v>10</v>
      </c>
      <c r="BY3" s="13" t="s">
        <v>9</v>
      </c>
      <c r="BZ3" s="13" t="s">
        <v>10</v>
      </c>
      <c r="CA3" s="13" t="s">
        <v>11</v>
      </c>
      <c r="CB3" s="13" t="s">
        <v>12</v>
      </c>
      <c r="CC3" s="13" t="s">
        <v>84</v>
      </c>
      <c r="CD3" s="13" t="s">
        <v>85</v>
      </c>
      <c r="CE3" s="13" t="s">
        <v>56</v>
      </c>
      <c r="CF3" s="13" t="s">
        <v>57</v>
      </c>
      <c r="CG3" s="14" t="s">
        <v>9</v>
      </c>
      <c r="CH3" s="13" t="s">
        <v>10</v>
      </c>
      <c r="CI3" s="13" t="s">
        <v>9</v>
      </c>
      <c r="CJ3" s="13" t="s">
        <v>10</v>
      </c>
      <c r="CK3" s="13" t="s">
        <v>9</v>
      </c>
      <c r="CL3" s="13" t="s">
        <v>10</v>
      </c>
      <c r="CM3" s="13" t="s">
        <v>11</v>
      </c>
      <c r="CN3" s="13" t="s">
        <v>12</v>
      </c>
      <c r="CO3" s="13" t="s">
        <v>86</v>
      </c>
      <c r="CP3" s="13" t="s">
        <v>87</v>
      </c>
      <c r="CQ3" s="13" t="s">
        <v>62</v>
      </c>
      <c r="CR3" s="13" t="s">
        <v>63</v>
      </c>
      <c r="CS3" s="13" t="s">
        <v>9</v>
      </c>
      <c r="CT3" s="13" t="s">
        <v>10</v>
      </c>
      <c r="CU3" s="13" t="s">
        <v>9</v>
      </c>
      <c r="CV3" s="13" t="s">
        <v>10</v>
      </c>
      <c r="CW3" s="13" t="s">
        <v>9</v>
      </c>
      <c r="CX3" s="13" t="s">
        <v>10</v>
      </c>
      <c r="CY3" s="13" t="s">
        <v>11</v>
      </c>
      <c r="CZ3" s="13" t="s">
        <v>12</v>
      </c>
      <c r="DA3" s="13" t="s">
        <v>86</v>
      </c>
      <c r="DB3" s="13" t="s">
        <v>87</v>
      </c>
      <c r="DC3" s="13" t="s">
        <v>64</v>
      </c>
      <c r="DD3" s="13" t="s">
        <v>65</v>
      </c>
      <c r="DE3" s="13" t="s">
        <v>9</v>
      </c>
      <c r="DF3" s="13" t="s">
        <v>10</v>
      </c>
      <c r="DG3" s="13" t="s">
        <v>9</v>
      </c>
      <c r="DH3" s="13" t="s">
        <v>10</v>
      </c>
      <c r="DI3" s="13" t="s">
        <v>9</v>
      </c>
      <c r="DJ3" s="13" t="s">
        <v>10</v>
      </c>
      <c r="DK3" s="13" t="s">
        <v>11</v>
      </c>
      <c r="DL3" s="13" t="s">
        <v>12</v>
      </c>
      <c r="DM3" s="13" t="s">
        <v>86</v>
      </c>
      <c r="DN3" s="13" t="s">
        <v>87</v>
      </c>
      <c r="DO3" s="13" t="s">
        <v>66</v>
      </c>
      <c r="DP3" s="13" t="s">
        <v>67</v>
      </c>
      <c r="DQ3" s="14" t="s">
        <v>9</v>
      </c>
      <c r="DR3" s="13" t="s">
        <v>10</v>
      </c>
      <c r="DS3" s="13" t="s">
        <v>9</v>
      </c>
      <c r="DT3" s="13" t="s">
        <v>10</v>
      </c>
      <c r="DU3" s="13" t="s">
        <v>9</v>
      </c>
      <c r="DV3" s="13" t="s">
        <v>10</v>
      </c>
      <c r="DW3" s="13" t="s">
        <v>11</v>
      </c>
      <c r="DX3" s="13" t="s">
        <v>12</v>
      </c>
      <c r="DY3" s="13" t="s">
        <v>88</v>
      </c>
      <c r="DZ3" s="13" t="s">
        <v>89</v>
      </c>
      <c r="EA3" s="13" t="s">
        <v>70</v>
      </c>
      <c r="EB3" s="13" t="s">
        <v>71</v>
      </c>
      <c r="EC3" s="13" t="s">
        <v>9</v>
      </c>
      <c r="ED3" s="13" t="s">
        <v>10</v>
      </c>
      <c r="EE3" s="13" t="s">
        <v>9</v>
      </c>
      <c r="EF3" s="13" t="s">
        <v>10</v>
      </c>
      <c r="EG3" s="13" t="s">
        <v>9</v>
      </c>
      <c r="EH3" s="13" t="s">
        <v>10</v>
      </c>
      <c r="EI3" s="13" t="s">
        <v>11</v>
      </c>
      <c r="EJ3" s="13" t="s">
        <v>12</v>
      </c>
      <c r="EK3" s="13" t="s">
        <v>90</v>
      </c>
      <c r="EL3" s="13" t="s">
        <v>91</v>
      </c>
      <c r="EM3" s="13" t="s">
        <v>72</v>
      </c>
      <c r="EN3" s="13" t="s">
        <v>73</v>
      </c>
      <c r="EO3" s="13" t="s">
        <v>9</v>
      </c>
      <c r="EP3" s="13" t="s">
        <v>10</v>
      </c>
      <c r="EQ3" s="13" t="s">
        <v>9</v>
      </c>
      <c r="ER3" s="13" t="s">
        <v>10</v>
      </c>
      <c r="ES3" s="13" t="s">
        <v>9</v>
      </c>
      <c r="ET3" s="13" t="s">
        <v>10</v>
      </c>
      <c r="EU3" s="13" t="s">
        <v>11</v>
      </c>
      <c r="EV3" s="13" t="s">
        <v>12</v>
      </c>
      <c r="EW3" s="13" t="s">
        <v>90</v>
      </c>
      <c r="EX3" s="13" t="s">
        <v>91</v>
      </c>
      <c r="EY3" s="13" t="s">
        <v>68</v>
      </c>
      <c r="EZ3" s="13" t="s">
        <v>69</v>
      </c>
      <c r="FB3" s="27"/>
      <c r="FC3" s="17" t="s">
        <v>9</v>
      </c>
      <c r="FD3" s="17" t="s">
        <v>10</v>
      </c>
      <c r="FE3" s="17" t="s">
        <v>9</v>
      </c>
      <c r="FF3" s="17" t="s">
        <v>10</v>
      </c>
      <c r="FG3" s="17" t="s">
        <v>9</v>
      </c>
      <c r="FH3" s="17" t="s">
        <v>10</v>
      </c>
      <c r="FI3" s="17" t="s">
        <v>11</v>
      </c>
      <c r="FJ3" s="17" t="s">
        <v>12</v>
      </c>
      <c r="FK3" s="17" t="s">
        <v>13</v>
      </c>
      <c r="FL3" s="17" t="s">
        <v>14</v>
      </c>
      <c r="FM3" s="17" t="s">
        <v>15</v>
      </c>
      <c r="FN3" s="17" t="s">
        <v>16</v>
      </c>
      <c r="FO3" s="17" t="s">
        <v>9</v>
      </c>
      <c r="FP3" s="17" t="s">
        <v>10</v>
      </c>
      <c r="FQ3" s="17" t="s">
        <v>9</v>
      </c>
      <c r="FR3" s="17" t="s">
        <v>10</v>
      </c>
      <c r="FS3" s="17" t="s">
        <v>9</v>
      </c>
      <c r="FT3" s="17" t="s">
        <v>10</v>
      </c>
      <c r="FU3" s="17" t="s">
        <v>11</v>
      </c>
      <c r="FV3" s="17" t="s">
        <v>12</v>
      </c>
      <c r="FW3" s="17" t="s">
        <v>13</v>
      </c>
      <c r="FX3" s="17" t="s">
        <v>14</v>
      </c>
      <c r="FY3" s="17" t="s">
        <v>15</v>
      </c>
      <c r="FZ3" s="17" t="s">
        <v>16</v>
      </c>
      <c r="GA3" s="17" t="s">
        <v>9</v>
      </c>
      <c r="GB3" s="17" t="s">
        <v>10</v>
      </c>
      <c r="GC3" s="17" t="s">
        <v>9</v>
      </c>
      <c r="GD3" s="17" t="s">
        <v>10</v>
      </c>
      <c r="GE3" s="17" t="s">
        <v>9</v>
      </c>
      <c r="GF3" s="17" t="s">
        <v>10</v>
      </c>
      <c r="GG3" s="17" t="s">
        <v>11</v>
      </c>
      <c r="GH3" s="17" t="s">
        <v>12</v>
      </c>
      <c r="GI3" s="17" t="s">
        <v>13</v>
      </c>
      <c r="GJ3" s="17" t="s">
        <v>14</v>
      </c>
      <c r="GK3" s="17" t="s">
        <v>15</v>
      </c>
      <c r="GL3" s="17" t="s">
        <v>16</v>
      </c>
    </row>
    <row r="4" spans="1:194" x14ac:dyDescent="0.3">
      <c r="A4" t="s">
        <v>17</v>
      </c>
      <c r="B4">
        <v>50</v>
      </c>
      <c r="D4">
        <v>10</v>
      </c>
      <c r="K4" s="9">
        <v>286264.78395162401</v>
      </c>
      <c r="L4" s="1">
        <v>2368.8059286555299</v>
      </c>
      <c r="M4" s="1">
        <v>413248.92154966999</v>
      </c>
      <c r="N4" s="1">
        <v>2300.09808426583</v>
      </c>
      <c r="O4" s="1">
        <v>286264.78395162401</v>
      </c>
      <c r="P4" s="1">
        <v>2368.8059286555299</v>
      </c>
      <c r="Q4">
        <v>15</v>
      </c>
      <c r="R4">
        <v>9</v>
      </c>
      <c r="S4" s="1">
        <v>92.066692472217397</v>
      </c>
      <c r="T4" s="1">
        <v>1.06818541961443</v>
      </c>
      <c r="U4" s="1">
        <v>92.066692472217397</v>
      </c>
      <c r="V4" s="1">
        <v>3.9377289474954802</v>
      </c>
      <c r="W4" s="1"/>
      <c r="X4" s="1"/>
      <c r="Y4" s="1">
        <v>179223.60248132999</v>
      </c>
      <c r="Z4" s="1">
        <v>2351.5343527191199</v>
      </c>
      <c r="AA4" s="1">
        <v>338437.68139038997</v>
      </c>
      <c r="AB4" s="1">
        <v>2268.4947406276301</v>
      </c>
      <c r="AC4" s="1">
        <v>179387.276148517</v>
      </c>
      <c r="AD4" s="1">
        <v>2348.7774973451401</v>
      </c>
      <c r="AE4">
        <v>14</v>
      </c>
      <c r="AF4">
        <v>7</v>
      </c>
      <c r="AG4" s="1">
        <v>95.028608099772597</v>
      </c>
      <c r="AH4" s="1">
        <v>1.90466131186304</v>
      </c>
      <c r="AI4" s="1">
        <v>95.033144017596896</v>
      </c>
      <c r="AJ4" s="1">
        <v>5.2576243830450498</v>
      </c>
      <c r="AK4" s="1">
        <v>179114.16147378401</v>
      </c>
      <c r="AL4" s="1">
        <v>2288.1446254361999</v>
      </c>
      <c r="AM4" s="1">
        <v>274074.16774611</v>
      </c>
      <c r="AN4" s="1">
        <v>2247.93007051634</v>
      </c>
      <c r="AO4" s="1">
        <v>191667.84527909299</v>
      </c>
      <c r="AP4" s="1">
        <v>2330.3814436573998</v>
      </c>
      <c r="AQ4">
        <v>12</v>
      </c>
      <c r="AR4">
        <v>8</v>
      </c>
      <c r="AS4" s="1">
        <v>94.688274475132602</v>
      </c>
      <c r="AT4" s="1">
        <v>2.6729618933627899</v>
      </c>
      <c r="AU4" s="1">
        <v>95.036176975954604</v>
      </c>
      <c r="AV4" s="1">
        <v>6.1164959798039202</v>
      </c>
      <c r="AW4" s="9">
        <v>242617.02850076801</v>
      </c>
      <c r="AX4" s="1">
        <v>2317.4791686891799</v>
      </c>
      <c r="AY4" s="1">
        <v>458032.316870321</v>
      </c>
      <c r="AZ4" s="1">
        <v>2296.5662008792401</v>
      </c>
      <c r="BA4" s="1">
        <v>242617.02850076801</v>
      </c>
      <c r="BB4" s="1">
        <v>2317.4791686891799</v>
      </c>
      <c r="BC4">
        <v>15</v>
      </c>
      <c r="BD4">
        <v>7</v>
      </c>
      <c r="BE4" s="1">
        <v>93.276310582098503</v>
      </c>
      <c r="BF4" s="1">
        <v>3.2118179724447899</v>
      </c>
      <c r="BG4" s="1">
        <v>93.276310582098503</v>
      </c>
      <c r="BH4" s="1">
        <v>4.0852360218807604</v>
      </c>
      <c r="BI4" s="1">
        <v>165144.01462535901</v>
      </c>
      <c r="BJ4" s="1">
        <v>2292.8738278678702</v>
      </c>
      <c r="BK4" s="1">
        <v>174580.895259907</v>
      </c>
      <c r="BL4" s="1">
        <v>2242.01765754914</v>
      </c>
      <c r="BM4" s="1">
        <v>165144.01462535901</v>
      </c>
      <c r="BN4" s="1">
        <v>2292.8738278678702</v>
      </c>
      <c r="BO4">
        <v>15</v>
      </c>
      <c r="BP4">
        <v>11</v>
      </c>
      <c r="BQ4" s="1">
        <v>95.423334172264106</v>
      </c>
      <c r="BR4" s="1">
        <v>4.2394458529620698</v>
      </c>
      <c r="BS4" s="1">
        <v>95.423334172264106</v>
      </c>
      <c r="BT4" s="1">
        <v>6.36342450033756</v>
      </c>
      <c r="BU4" s="1">
        <v>191557.813194685</v>
      </c>
      <c r="BV4" s="1">
        <v>2279.5402216396201</v>
      </c>
      <c r="BW4" s="1">
        <v>300439.86529642402</v>
      </c>
      <c r="BX4" s="1">
        <v>2252.5055844563199</v>
      </c>
      <c r="BY4" s="1">
        <v>191557.813194685</v>
      </c>
      <c r="BZ4" s="1">
        <v>2279.5402216396201</v>
      </c>
      <c r="CA4">
        <v>15</v>
      </c>
      <c r="CB4">
        <v>9</v>
      </c>
      <c r="CC4" s="1">
        <v>94.691323814109793</v>
      </c>
      <c r="CD4" s="1">
        <v>4.7963162335630898</v>
      </c>
      <c r="CE4" s="1">
        <v>94.691323814109793</v>
      </c>
      <c r="CF4" s="1">
        <v>5.9254022767513099</v>
      </c>
      <c r="CG4" s="9">
        <v>242617.028500769</v>
      </c>
      <c r="CH4" s="1">
        <v>2317.4791686891699</v>
      </c>
      <c r="CI4" s="1">
        <v>458032.31687033601</v>
      </c>
      <c r="CJ4" s="1">
        <v>2296.5662008792301</v>
      </c>
      <c r="CK4" s="1">
        <v>242617.028500769</v>
      </c>
      <c r="CL4" s="1">
        <v>2317.4791686891699</v>
      </c>
      <c r="CM4">
        <v>15</v>
      </c>
      <c r="CN4">
        <v>7</v>
      </c>
      <c r="CO4" s="1">
        <v>93.276310582098503</v>
      </c>
      <c r="CP4" s="1">
        <v>3.2118179724448899</v>
      </c>
      <c r="CQ4" s="1">
        <v>93.276310582098503</v>
      </c>
      <c r="CR4" s="1">
        <v>4.0852360218808998</v>
      </c>
      <c r="DE4" s="1">
        <v>191557.81319469001</v>
      </c>
      <c r="DF4" s="1">
        <v>2279.5402216403099</v>
      </c>
      <c r="DG4" s="1">
        <v>300439.86529642198</v>
      </c>
      <c r="DH4" s="1">
        <v>2252.5055844563199</v>
      </c>
      <c r="DI4" s="1">
        <v>191557.81319469001</v>
      </c>
      <c r="DJ4" s="1">
        <v>2279.5402216403099</v>
      </c>
      <c r="DK4">
        <v>15</v>
      </c>
      <c r="DL4">
        <v>9</v>
      </c>
      <c r="DM4" s="1">
        <v>94.691323814109694</v>
      </c>
      <c r="DN4" s="1">
        <v>4.7963162335343901</v>
      </c>
      <c r="DO4" s="1">
        <v>94.691323814109694</v>
      </c>
      <c r="DP4" s="1">
        <v>5.9254022767514503</v>
      </c>
      <c r="DQ4" s="9">
        <v>258451.373060271</v>
      </c>
      <c r="DR4" s="1">
        <v>2297.2606099693799</v>
      </c>
      <c r="DS4" s="1">
        <v>383480.77296636801</v>
      </c>
      <c r="DT4" s="1">
        <v>2282.5703520940401</v>
      </c>
      <c r="DU4" s="1">
        <v>274392.35066549201</v>
      </c>
      <c r="DV4" s="1">
        <v>2325.7917220664599</v>
      </c>
      <c r="DW4">
        <v>13</v>
      </c>
      <c r="DX4">
        <v>7</v>
      </c>
      <c r="DY4" s="1">
        <v>92.395715354675303</v>
      </c>
      <c r="DZ4" s="1">
        <v>2.8646489707706602</v>
      </c>
      <c r="EA4" s="1">
        <v>92.837490538789794</v>
      </c>
      <c r="EB4" s="1">
        <v>4.6697645812539497</v>
      </c>
      <c r="EC4" s="1">
        <v>207800.32525053999</v>
      </c>
      <c r="ED4" s="1">
        <v>2358.6586625902301</v>
      </c>
      <c r="EE4" s="1">
        <v>423484.40179329301</v>
      </c>
      <c r="EF4" s="1">
        <v>2282.86621882188</v>
      </c>
      <c r="EG4" s="1">
        <v>207800.32525053999</v>
      </c>
      <c r="EH4" s="1">
        <v>2358.6586625902301</v>
      </c>
      <c r="EI4">
        <v>15</v>
      </c>
      <c r="EJ4">
        <v>6</v>
      </c>
      <c r="EK4" s="1">
        <v>94.241192151443997</v>
      </c>
      <c r="EL4" s="1">
        <v>1.4919801394463901</v>
      </c>
      <c r="EM4" s="1">
        <v>94.241192151443997</v>
      </c>
      <c r="EN4" s="1">
        <v>4.6574078778599404</v>
      </c>
      <c r="EO4" s="1">
        <v>180782.64099108899</v>
      </c>
      <c r="EP4" s="1">
        <v>2334.7177506448602</v>
      </c>
      <c r="EQ4" s="1">
        <v>279743.03103168902</v>
      </c>
      <c r="ER4" s="1">
        <v>2247.6875771950199</v>
      </c>
      <c r="ES4" s="1">
        <v>180782.64099108899</v>
      </c>
      <c r="ET4" s="1">
        <v>2334.7177506448602</v>
      </c>
      <c r="EU4">
        <v>15</v>
      </c>
      <c r="EV4">
        <v>10</v>
      </c>
      <c r="EW4" s="1">
        <v>94.989938102517698</v>
      </c>
      <c r="EX4" s="1">
        <v>2.4918585308383401</v>
      </c>
      <c r="EY4" s="1">
        <v>94.989938102517698</v>
      </c>
      <c r="EZ4" s="1">
        <v>6.1266235736316697</v>
      </c>
      <c r="FA4" s="1"/>
      <c r="FB4" s="10" t="s">
        <v>17</v>
      </c>
      <c r="FC4" s="1">
        <v>355630.70592634397</v>
      </c>
      <c r="FD4" s="1">
        <v>2489.5625373090702</v>
      </c>
      <c r="FE4" s="1">
        <v>366325.11732479802</v>
      </c>
      <c r="FF4" s="1">
        <v>2360.9350111500999</v>
      </c>
      <c r="FG4" s="1">
        <v>361053.51874879602</v>
      </c>
      <c r="FH4" s="1">
        <v>2531.82624730916</v>
      </c>
      <c r="FI4">
        <v>8</v>
      </c>
      <c r="FJ4">
        <v>4</v>
      </c>
      <c r="FK4" s="1">
        <v>89.994058791715403</v>
      </c>
      <c r="FL4" s="2">
        <v>-5.7402642481169703</v>
      </c>
      <c r="FM4" s="1">
        <v>90.144342180374906</v>
      </c>
      <c r="FN4" s="1">
        <v>1.39690975359462</v>
      </c>
      <c r="FO4" s="1">
        <v>279610.49116910598</v>
      </c>
      <c r="FP4" s="1">
        <v>2390.7257815732701</v>
      </c>
      <c r="FQ4" s="1">
        <v>343332.9968964</v>
      </c>
      <c r="FR4" s="1">
        <v>2349.35523346232</v>
      </c>
      <c r="FS4" s="1">
        <v>279610.49116910598</v>
      </c>
      <c r="FT4" s="1">
        <v>2390.7257815732701</v>
      </c>
      <c r="FU4">
        <v>15</v>
      </c>
      <c r="FV4">
        <v>8</v>
      </c>
      <c r="FW4" s="1">
        <v>92.2511040868592</v>
      </c>
      <c r="FX4" s="1">
        <v>0.15271539387163799</v>
      </c>
      <c r="FY4" s="1">
        <v>92.2511040868592</v>
      </c>
      <c r="FZ4" s="1">
        <v>1.8805324958508001</v>
      </c>
      <c r="GA4" s="1">
        <v>187156.253570698</v>
      </c>
      <c r="GB4" s="1">
        <v>2453.4050640270302</v>
      </c>
      <c r="GC4" s="1">
        <v>305322.22647703299</v>
      </c>
      <c r="GD4" s="1">
        <v>2359.6978619276501</v>
      </c>
      <c r="GE4" s="1">
        <v>188638.53418682201</v>
      </c>
      <c r="GF4" s="1">
        <v>2477.26343778301</v>
      </c>
      <c r="GG4" s="3">
        <v>14</v>
      </c>
      <c r="GH4" s="3">
        <v>5</v>
      </c>
      <c r="GI4" s="1">
        <v>94.772226319157994</v>
      </c>
      <c r="GJ4" s="2">
        <v>-3.4614799502030502</v>
      </c>
      <c r="GK4" s="1">
        <v>94.813305028903102</v>
      </c>
      <c r="GL4" s="1">
        <v>1.4485785779602101</v>
      </c>
    </row>
    <row r="5" spans="1:194" x14ac:dyDescent="0.3">
      <c r="A5" t="s">
        <v>18</v>
      </c>
      <c r="B5">
        <v>50</v>
      </c>
      <c r="D5">
        <v>5</v>
      </c>
      <c r="K5" s="9">
        <v>220917.16432139001</v>
      </c>
      <c r="L5" s="1">
        <v>2566.8025164671499</v>
      </c>
      <c r="M5" s="1">
        <v>377670.74892712</v>
      </c>
      <c r="N5" s="1">
        <v>2377.6786495331999</v>
      </c>
      <c r="O5" s="1">
        <v>220917.16432139001</v>
      </c>
      <c r="P5" s="1">
        <v>2566.8025164671499</v>
      </c>
      <c r="Q5">
        <v>15</v>
      </c>
      <c r="R5">
        <v>2</v>
      </c>
      <c r="S5" s="1">
        <v>68.502289972979199</v>
      </c>
      <c r="T5" s="2">
        <v>-6.0273528575504196</v>
      </c>
      <c r="U5" s="1">
        <v>68.502289972979199</v>
      </c>
      <c r="V5" s="1">
        <v>1.7848192299188099</v>
      </c>
      <c r="W5" s="1"/>
      <c r="X5" s="1"/>
      <c r="Y5" s="1">
        <v>140905.82275839901</v>
      </c>
      <c r="Z5" s="1">
        <v>2412.8622801874199</v>
      </c>
      <c r="AA5" s="1">
        <v>191936.12225993301</v>
      </c>
      <c r="AB5" s="1">
        <v>2343.1272800243401</v>
      </c>
      <c r="AC5" s="1">
        <v>159505.16729422999</v>
      </c>
      <c r="AD5" s="1">
        <v>2397.3356172011599</v>
      </c>
      <c r="AE5">
        <v>10</v>
      </c>
      <c r="AF5">
        <v>8</v>
      </c>
      <c r="AG5" s="1">
        <v>77.258229243174</v>
      </c>
      <c r="AH5" s="1">
        <v>0.97284548683996797</v>
      </c>
      <c r="AI5" s="1">
        <v>79.910068282851398</v>
      </c>
      <c r="AJ5" s="1">
        <v>3.2120385906311899</v>
      </c>
      <c r="AK5" s="1">
        <v>146815.48574981099</v>
      </c>
      <c r="AL5" s="1">
        <v>2413.7174454325</v>
      </c>
      <c r="AM5" s="1">
        <v>179217.32003269601</v>
      </c>
      <c r="AN5" s="1">
        <v>2345.5144290644498</v>
      </c>
      <c r="AO5" s="1">
        <v>162363.327656476</v>
      </c>
      <c r="AP5" s="1">
        <v>2446.9044537894101</v>
      </c>
      <c r="AQ5">
        <v>11</v>
      </c>
      <c r="AR5">
        <v>10</v>
      </c>
      <c r="AS5" s="1">
        <v>76.850721268059104</v>
      </c>
      <c r="AT5" s="2">
        <v>-1.0747029684712499</v>
      </c>
      <c r="AU5" s="1">
        <v>79.067486169176703</v>
      </c>
      <c r="AV5" s="1">
        <v>3.1134322148093001</v>
      </c>
      <c r="AW5" s="9">
        <v>195703.07316504</v>
      </c>
      <c r="AX5" s="1">
        <v>2516.9799871426098</v>
      </c>
      <c r="AY5" s="1">
        <v>377670.74892719899</v>
      </c>
      <c r="AZ5" s="1">
        <v>2377.6786495331899</v>
      </c>
      <c r="BA5" s="1">
        <v>224234.596304317</v>
      </c>
      <c r="BB5" s="1">
        <v>2611.2832801424902</v>
      </c>
      <c r="BC5">
        <v>13</v>
      </c>
      <c r="BD5">
        <v>2</v>
      </c>
      <c r="BE5" s="1">
        <v>68.029300420747902</v>
      </c>
      <c r="BF5" s="2">
        <v>-7.8647274102566298</v>
      </c>
      <c r="BG5" s="1">
        <v>72.097239846055601</v>
      </c>
      <c r="BH5" s="1">
        <v>1.7848192299191401</v>
      </c>
      <c r="BI5" s="1">
        <v>144870.35138300201</v>
      </c>
      <c r="BJ5" s="1">
        <v>2325.4289762295998</v>
      </c>
      <c r="BK5" s="1">
        <v>211137.223230567</v>
      </c>
      <c r="BL5" s="1">
        <v>2321.9858879363601</v>
      </c>
      <c r="BM5" s="1">
        <v>165398.08736032201</v>
      </c>
      <c r="BN5" s="1">
        <v>2362.7791744064202</v>
      </c>
      <c r="BO5">
        <v>12</v>
      </c>
      <c r="BP5">
        <v>10</v>
      </c>
      <c r="BQ5" s="1">
        <v>76.418034285827304</v>
      </c>
      <c r="BR5" s="1">
        <v>2.40027441064424</v>
      </c>
      <c r="BS5" s="1">
        <v>79.344817622518306</v>
      </c>
      <c r="BT5" s="1">
        <v>4.0853297084445996</v>
      </c>
      <c r="BU5" s="1">
        <v>146581.10482680399</v>
      </c>
      <c r="BV5" s="1">
        <v>2323.0727806971399</v>
      </c>
      <c r="BW5" s="1">
        <v>148080.67623402199</v>
      </c>
      <c r="BX5" s="1">
        <v>2320.3010988597498</v>
      </c>
      <c r="BY5" s="1">
        <v>165868.06903555599</v>
      </c>
      <c r="BZ5" s="1">
        <v>2375.3445508053401</v>
      </c>
      <c r="CA5">
        <v>13</v>
      </c>
      <c r="CB5">
        <v>14</v>
      </c>
      <c r="CC5" s="1">
        <v>76.351025701093803</v>
      </c>
      <c r="CD5" s="1">
        <v>1.88123424737152</v>
      </c>
      <c r="CE5" s="1">
        <v>79.1009035017386</v>
      </c>
      <c r="CF5" s="1">
        <v>4.1549235804976696</v>
      </c>
      <c r="CG5" s="9">
        <v>195703.07316503901</v>
      </c>
      <c r="CH5" s="1">
        <v>2516.9799871425998</v>
      </c>
      <c r="CI5" s="1">
        <v>377670.74892712</v>
      </c>
      <c r="CJ5" s="1">
        <v>2377.6786495331999</v>
      </c>
      <c r="CK5" s="1">
        <v>224234.596304315</v>
      </c>
      <c r="CL5" s="1">
        <v>2611.2832801425002</v>
      </c>
      <c r="CM5">
        <v>13</v>
      </c>
      <c r="CN5">
        <v>2</v>
      </c>
      <c r="CO5" s="1">
        <v>68.0293004207482</v>
      </c>
      <c r="CP5" s="2">
        <v>-7.8647274102567604</v>
      </c>
      <c r="CQ5" s="1">
        <v>72.0972398460558</v>
      </c>
      <c r="CR5" s="1">
        <v>1.7848192299188099</v>
      </c>
      <c r="CS5" s="1">
        <v>144870.35138300201</v>
      </c>
      <c r="CT5" s="1">
        <v>2325.4289762296098</v>
      </c>
      <c r="CU5" s="1">
        <v>211137.22323056601</v>
      </c>
      <c r="CV5" s="1">
        <v>2321.9858879363701</v>
      </c>
      <c r="CW5" s="1">
        <v>165398.087360323</v>
      </c>
      <c r="CX5" s="1">
        <v>2362.7791744064202</v>
      </c>
      <c r="CY5">
        <v>12</v>
      </c>
      <c r="CZ5">
        <v>10</v>
      </c>
      <c r="DA5" s="1">
        <v>76.418034285827204</v>
      </c>
      <c r="DB5" s="1">
        <v>2.4002744106443501</v>
      </c>
      <c r="DC5" s="1">
        <v>79.344817622518406</v>
      </c>
      <c r="DD5" s="1">
        <v>4.0853297084444602</v>
      </c>
      <c r="DE5" s="1">
        <v>146581.10482680399</v>
      </c>
      <c r="DF5" s="1">
        <v>2323.0727806971399</v>
      </c>
      <c r="DG5" s="1">
        <v>148080.67623402199</v>
      </c>
      <c r="DH5" s="1">
        <v>2320.3010988597498</v>
      </c>
      <c r="DI5" s="1">
        <v>165868.06903555599</v>
      </c>
      <c r="DJ5" s="1">
        <v>2375.3445508053401</v>
      </c>
      <c r="DK5">
        <v>13</v>
      </c>
      <c r="DL5">
        <v>14</v>
      </c>
      <c r="DM5" s="1">
        <v>76.351025701093704</v>
      </c>
      <c r="DN5" s="1">
        <v>1.88123424737148</v>
      </c>
      <c r="DO5" s="1">
        <v>79.1009035017386</v>
      </c>
      <c r="DP5" s="1">
        <v>4.1549235804978197</v>
      </c>
      <c r="DQ5" s="9">
        <v>224572.699645546</v>
      </c>
      <c r="DR5" s="1">
        <v>2496.3479171416302</v>
      </c>
      <c r="DS5" s="1">
        <v>377670.74892722</v>
      </c>
      <c r="DT5" s="1">
        <v>2377.6786495331999</v>
      </c>
      <c r="DU5" s="1">
        <v>224572.699645546</v>
      </c>
      <c r="DV5" s="1">
        <v>2496.3479171416302</v>
      </c>
      <c r="DW5">
        <v>15</v>
      </c>
      <c r="DX5">
        <v>2</v>
      </c>
      <c r="DY5" s="1">
        <v>67.981094655324796</v>
      </c>
      <c r="DZ5" s="2">
        <v>-3.1170726099661401</v>
      </c>
      <c r="EA5" s="1">
        <v>67.981094655324796</v>
      </c>
      <c r="EB5" s="1">
        <v>1.78481922991877</v>
      </c>
      <c r="EC5" s="1">
        <v>154325.906192294</v>
      </c>
      <c r="ED5" s="1">
        <v>2450.0009942357601</v>
      </c>
      <c r="EE5" s="1">
        <v>215054.87159026999</v>
      </c>
      <c r="EF5" s="1">
        <v>2347.9103173626199</v>
      </c>
      <c r="EG5" s="1">
        <v>159507.12027926801</v>
      </c>
      <c r="EH5" s="1">
        <v>2523.7347021154401</v>
      </c>
      <c r="EI5">
        <v>10</v>
      </c>
      <c r="EJ5">
        <v>6</v>
      </c>
      <c r="EK5" s="1">
        <v>77.257950792395505</v>
      </c>
      <c r="EL5" s="2">
        <v>-4.2483432454838201</v>
      </c>
      <c r="EM5" s="1">
        <v>77.996672835115604</v>
      </c>
      <c r="EN5" s="1">
        <v>3.0144648449522</v>
      </c>
      <c r="EO5" s="1">
        <v>163712.24871429399</v>
      </c>
      <c r="EP5" s="1">
        <v>2477.4784081140501</v>
      </c>
      <c r="EQ5" s="1">
        <v>274735.309397039</v>
      </c>
      <c r="ER5" s="1">
        <v>2361.6588841979301</v>
      </c>
      <c r="ES5" s="1">
        <v>186584.720304919</v>
      </c>
      <c r="ET5" s="1">
        <v>2550.63797609843</v>
      </c>
      <c r="EU5">
        <v>12</v>
      </c>
      <c r="EV5">
        <v>4</v>
      </c>
      <c r="EW5" s="1">
        <v>73.397307385825101</v>
      </c>
      <c r="EX5" s="2">
        <v>-5.3596414093734603</v>
      </c>
      <c r="EY5" s="1">
        <v>76.658396129091301</v>
      </c>
      <c r="EZ5" s="1">
        <v>2.4465504308979602</v>
      </c>
      <c r="FA5" s="1"/>
      <c r="FB5" s="10" t="s">
        <v>18</v>
      </c>
      <c r="FC5" s="1">
        <v>425524.680508747</v>
      </c>
      <c r="FD5" s="1">
        <v>2571.5622300954901</v>
      </c>
      <c r="FE5" s="1">
        <v>701375.31944980798</v>
      </c>
      <c r="FF5" s="1">
        <v>2420.8871081745201</v>
      </c>
      <c r="FG5" s="1">
        <v>445174.34252580203</v>
      </c>
      <c r="FH5" s="1">
        <v>2591.1964941624801</v>
      </c>
      <c r="FI5">
        <v>13</v>
      </c>
      <c r="FJ5">
        <v>0</v>
      </c>
      <c r="FK5" s="1">
        <v>36.528370733800898</v>
      </c>
      <c r="FL5" s="2">
        <v>-7.0349990882632802</v>
      </c>
      <c r="FM5" s="1">
        <v>39.329960905589097</v>
      </c>
      <c r="FN5" s="2">
        <v>0</v>
      </c>
      <c r="FO5" s="1">
        <v>248987.664560718</v>
      </c>
      <c r="FP5" s="1">
        <v>2561.61667409662</v>
      </c>
      <c r="FQ5" s="1">
        <v>701375.31944980705</v>
      </c>
      <c r="FR5" s="1">
        <v>2420.8871081745201</v>
      </c>
      <c r="FS5" s="1">
        <v>248987.664560718</v>
      </c>
      <c r="FT5" s="1">
        <v>2561.61667409662</v>
      </c>
      <c r="FU5">
        <v>15</v>
      </c>
      <c r="FV5">
        <v>0</v>
      </c>
      <c r="FW5" s="1">
        <v>64.500081816959707</v>
      </c>
      <c r="FX5" s="2">
        <v>-5.8131403751502999</v>
      </c>
      <c r="FY5" s="1">
        <v>64.500081816959707</v>
      </c>
      <c r="FZ5" s="2">
        <v>0</v>
      </c>
      <c r="GA5" s="1">
        <v>311619.22888839903</v>
      </c>
      <c r="GB5" s="1">
        <v>2557.2893789794798</v>
      </c>
      <c r="GC5" s="1">
        <v>701375.31944980903</v>
      </c>
      <c r="GD5" s="1">
        <v>2420.8871081745201</v>
      </c>
      <c r="GE5" s="1">
        <v>312924.679920836</v>
      </c>
      <c r="GF5" s="1">
        <v>2567.7557207689001</v>
      </c>
      <c r="GG5" s="3">
        <v>14</v>
      </c>
      <c r="GH5" s="3">
        <v>0</v>
      </c>
      <c r="GI5" s="1">
        <v>55.3841329680222</v>
      </c>
      <c r="GJ5" s="2">
        <v>-6.0667270315270798</v>
      </c>
      <c r="GK5" s="1">
        <v>55.570260280494701</v>
      </c>
      <c r="GL5" s="2">
        <v>0</v>
      </c>
    </row>
    <row r="6" spans="1:194" x14ac:dyDescent="0.3">
      <c r="A6" t="s">
        <v>19</v>
      </c>
      <c r="B6">
        <v>50</v>
      </c>
      <c r="D6">
        <v>1</v>
      </c>
      <c r="K6" s="9">
        <v>119939.96859609</v>
      </c>
      <c r="L6" s="1">
        <v>2328.49908806129</v>
      </c>
      <c r="M6" s="1">
        <v>119939.96859609</v>
      </c>
      <c r="N6" s="1">
        <v>2328.49908806129</v>
      </c>
      <c r="O6" s="1">
        <v>336184.63760894601</v>
      </c>
      <c r="P6" s="1">
        <v>3220.9075330342598</v>
      </c>
      <c r="Q6">
        <v>0</v>
      </c>
      <c r="R6">
        <v>0</v>
      </c>
      <c r="S6" s="2">
        <v>-180.294085069407</v>
      </c>
      <c r="T6" s="2">
        <v>-38.325479685542398</v>
      </c>
      <c r="U6" s="2">
        <v>0</v>
      </c>
      <c r="V6" s="2">
        <v>0</v>
      </c>
      <c r="W6" s="2"/>
      <c r="X6" s="2"/>
      <c r="Y6" s="1">
        <v>119939.96859609</v>
      </c>
      <c r="Z6" s="1">
        <v>2328.49908806129</v>
      </c>
      <c r="AA6" s="1">
        <v>119939.96859609</v>
      </c>
      <c r="AB6" s="1">
        <v>2328.49908806129</v>
      </c>
      <c r="AC6" s="1">
        <v>163643.79601520201</v>
      </c>
      <c r="AD6" s="1">
        <v>2422.64233121902</v>
      </c>
      <c r="AE6">
        <v>0</v>
      </c>
      <c r="AF6">
        <v>0</v>
      </c>
      <c r="AG6" s="2">
        <v>-36.438084760792897</v>
      </c>
      <c r="AH6" s="2">
        <v>-4.0430869670692697</v>
      </c>
      <c r="AI6" s="2">
        <v>0</v>
      </c>
      <c r="AJ6" s="2">
        <v>0</v>
      </c>
      <c r="AK6" s="1">
        <v>119939.96859609</v>
      </c>
      <c r="AL6" s="1">
        <v>2328.49908806129</v>
      </c>
      <c r="AM6" s="1">
        <v>119939.96859609</v>
      </c>
      <c r="AN6" s="1">
        <v>2328.49908806129</v>
      </c>
      <c r="AO6" s="1">
        <v>210410.64642371901</v>
      </c>
      <c r="AP6" s="1">
        <v>2478.5185149640101</v>
      </c>
      <c r="AQ6">
        <v>0</v>
      </c>
      <c r="AR6">
        <v>0</v>
      </c>
      <c r="AS6" s="2">
        <v>-75.4299662461124</v>
      </c>
      <c r="AT6" s="2">
        <v>-6.44275222918926</v>
      </c>
      <c r="AU6" s="2">
        <v>0</v>
      </c>
      <c r="AV6" s="2">
        <v>0</v>
      </c>
      <c r="AW6" s="9">
        <v>119939.96859609</v>
      </c>
      <c r="AX6" s="1">
        <v>2328.49908806129</v>
      </c>
      <c r="AY6" s="1">
        <v>119939.96859609</v>
      </c>
      <c r="AZ6" s="1">
        <v>2328.49908806129</v>
      </c>
      <c r="BA6" s="1">
        <v>336184.637608947</v>
      </c>
      <c r="BB6" s="1">
        <v>3220.9075330342598</v>
      </c>
      <c r="BC6">
        <v>0</v>
      </c>
      <c r="BD6">
        <v>0</v>
      </c>
      <c r="BE6" s="2">
        <v>-180.294085069408</v>
      </c>
      <c r="BF6" s="2">
        <v>-38.325479685542497</v>
      </c>
      <c r="BG6" s="2">
        <v>0</v>
      </c>
      <c r="BH6" s="2">
        <v>0</v>
      </c>
      <c r="BI6" s="1">
        <v>119939.96859609</v>
      </c>
      <c r="BJ6" s="1">
        <v>2328.49908806129</v>
      </c>
      <c r="BK6" s="1">
        <v>119939.96859609</v>
      </c>
      <c r="BL6" s="1">
        <v>2328.49908806129</v>
      </c>
      <c r="BM6" s="1">
        <v>139600.45951839699</v>
      </c>
      <c r="BN6" s="1">
        <v>2349.9686439105999</v>
      </c>
      <c r="BO6">
        <v>0</v>
      </c>
      <c r="BP6">
        <v>0</v>
      </c>
      <c r="BQ6" s="2">
        <v>-16.391942696363099</v>
      </c>
      <c r="BR6" s="2">
        <v>-0.92203411027254001</v>
      </c>
      <c r="BS6" s="2">
        <v>0</v>
      </c>
      <c r="BT6" s="2">
        <v>0</v>
      </c>
      <c r="BU6" s="1">
        <v>119939.96859609</v>
      </c>
      <c r="BV6" s="1">
        <v>2328.49908806129</v>
      </c>
      <c r="BW6" s="1">
        <v>119939.96859609</v>
      </c>
      <c r="BX6" s="1">
        <v>2328.49908806129</v>
      </c>
      <c r="BY6" s="1">
        <v>209800.08039580099</v>
      </c>
      <c r="BZ6" s="1">
        <v>2508.54921180259</v>
      </c>
      <c r="CA6">
        <v>0</v>
      </c>
      <c r="CB6">
        <v>0</v>
      </c>
      <c r="CC6" s="2">
        <v>-74.920906559783504</v>
      </c>
      <c r="CD6" s="2">
        <v>-7.7324541231070496</v>
      </c>
      <c r="CE6" s="2">
        <v>0</v>
      </c>
      <c r="CF6" s="2">
        <v>0</v>
      </c>
      <c r="CG6" s="9">
        <v>119939.96859609</v>
      </c>
      <c r="CH6" s="1">
        <v>2328.49908806129</v>
      </c>
      <c r="CI6" s="1">
        <v>119939.96859609</v>
      </c>
      <c r="CJ6" s="1">
        <v>2328.49908806129</v>
      </c>
      <c r="CK6" s="1">
        <v>336184.637608947</v>
      </c>
      <c r="CL6" s="1">
        <v>3220.9075330342598</v>
      </c>
      <c r="CM6">
        <v>0</v>
      </c>
      <c r="CN6">
        <v>0</v>
      </c>
      <c r="CO6" s="2">
        <v>-180.294085069408</v>
      </c>
      <c r="CP6" s="2">
        <v>-38.325479685542398</v>
      </c>
      <c r="CQ6" s="2">
        <v>0</v>
      </c>
      <c r="CR6" s="2">
        <v>0</v>
      </c>
      <c r="CS6" s="1">
        <v>119939.96859609</v>
      </c>
      <c r="CT6" s="1">
        <v>2328.49908806129</v>
      </c>
      <c r="CU6" s="1">
        <v>119939.96859609</v>
      </c>
      <c r="CV6" s="1">
        <v>2328.49908806129</v>
      </c>
      <c r="CW6" s="1">
        <v>139600.45951839699</v>
      </c>
      <c r="CX6" s="1">
        <v>2349.9686439105999</v>
      </c>
      <c r="CY6">
        <v>0</v>
      </c>
      <c r="CZ6">
        <v>0</v>
      </c>
      <c r="DA6" s="2">
        <v>-16.3919426963629</v>
      </c>
      <c r="DB6" s="2">
        <v>-0.92203411027249604</v>
      </c>
      <c r="DC6" s="2">
        <v>0</v>
      </c>
      <c r="DD6" s="2">
        <v>0</v>
      </c>
      <c r="DE6" s="1">
        <v>119939.96859609</v>
      </c>
      <c r="DF6" s="1">
        <v>2328.49908806129</v>
      </c>
      <c r="DG6" s="1">
        <v>119939.96859609</v>
      </c>
      <c r="DH6" s="1">
        <v>2328.49908806129</v>
      </c>
      <c r="DI6" s="1">
        <v>209800.08039580099</v>
      </c>
      <c r="DJ6" s="1">
        <v>2508.5492118026</v>
      </c>
      <c r="DK6">
        <v>0</v>
      </c>
      <c r="DL6">
        <v>0</v>
      </c>
      <c r="DM6" s="2">
        <v>-74.920906559783404</v>
      </c>
      <c r="DN6" s="2">
        <v>-7.7324541231071002</v>
      </c>
      <c r="DO6" s="2">
        <v>0</v>
      </c>
      <c r="DP6" s="2">
        <v>0</v>
      </c>
      <c r="DQ6" s="9">
        <v>119939.96859609</v>
      </c>
      <c r="DR6" s="1">
        <v>2328.49908806129</v>
      </c>
      <c r="DS6" s="1">
        <v>119939.96859609</v>
      </c>
      <c r="DT6" s="1">
        <v>2328.49908806129</v>
      </c>
      <c r="DU6" s="1">
        <v>336184.637608947</v>
      </c>
      <c r="DV6" s="1">
        <v>3220.9075330342598</v>
      </c>
      <c r="DW6">
        <v>0</v>
      </c>
      <c r="DX6">
        <v>0</v>
      </c>
      <c r="DY6" s="2">
        <v>-180.294085069408</v>
      </c>
      <c r="DZ6" s="2">
        <v>-38.325479685542298</v>
      </c>
      <c r="EA6" s="2">
        <v>0</v>
      </c>
      <c r="EB6" s="2">
        <v>0</v>
      </c>
      <c r="EC6" s="1">
        <v>119939.96859609</v>
      </c>
      <c r="ED6" s="1">
        <v>2328.49908806129</v>
      </c>
      <c r="EE6" s="1">
        <v>119939.96859609</v>
      </c>
      <c r="EF6" s="1">
        <v>2328.49908806129</v>
      </c>
      <c r="EG6" s="1">
        <v>154463.41099371199</v>
      </c>
      <c r="EH6" s="1">
        <v>2481.12185792524</v>
      </c>
      <c r="EI6">
        <v>0</v>
      </c>
      <c r="EJ6">
        <v>0</v>
      </c>
      <c r="EK6" s="2">
        <v>-28.7839348315016</v>
      </c>
      <c r="EL6" s="2">
        <v>-6.5545557069993396</v>
      </c>
      <c r="EM6" s="2">
        <v>0</v>
      </c>
      <c r="EN6" s="2">
        <v>0</v>
      </c>
      <c r="EO6" s="1">
        <v>119939.96859609</v>
      </c>
      <c r="EP6" s="1">
        <v>2328.49908806129</v>
      </c>
      <c r="EQ6" s="1">
        <v>119939.96859609</v>
      </c>
      <c r="ER6" s="1">
        <v>2328.49908806129</v>
      </c>
      <c r="ES6" s="1">
        <v>227308.803888889</v>
      </c>
      <c r="ET6" s="1">
        <v>2815.2917574245598</v>
      </c>
      <c r="EU6">
        <v>0</v>
      </c>
      <c r="EV6">
        <v>0</v>
      </c>
      <c r="EW6" s="2">
        <v>-89.518812243793704</v>
      </c>
      <c r="EX6" s="2">
        <v>-20.9058561310658</v>
      </c>
      <c r="EY6" s="2">
        <v>0</v>
      </c>
      <c r="EZ6" s="2">
        <v>0</v>
      </c>
      <c r="FA6" s="2"/>
      <c r="FB6" s="10" t="s">
        <v>19</v>
      </c>
      <c r="FC6" s="1">
        <v>119939.96859609</v>
      </c>
      <c r="FD6" s="1">
        <v>2328.49908806129</v>
      </c>
      <c r="FE6" s="1">
        <v>119939.96859609</v>
      </c>
      <c r="FF6" s="1">
        <v>2328.49908806129</v>
      </c>
      <c r="FG6" s="1">
        <v>237982.58552938001</v>
      </c>
      <c r="FH6" s="1">
        <v>3035.1038473438998</v>
      </c>
      <c r="FI6">
        <v>0</v>
      </c>
      <c r="FJ6">
        <v>0</v>
      </c>
      <c r="FK6" s="2">
        <v>-98.418082241467104</v>
      </c>
      <c r="FL6" s="2">
        <v>-30.3459324036466</v>
      </c>
      <c r="FM6" s="2">
        <v>0</v>
      </c>
      <c r="FN6" s="2">
        <v>0</v>
      </c>
      <c r="FO6" s="1">
        <v>119939.96859609</v>
      </c>
      <c r="FP6" s="1">
        <v>2328.49908806129</v>
      </c>
      <c r="FQ6" s="1">
        <v>119939.96859609</v>
      </c>
      <c r="FR6" s="1">
        <v>2328.49908806129</v>
      </c>
      <c r="FS6" s="1">
        <v>143833.24705407</v>
      </c>
      <c r="FT6" s="1">
        <v>2400.3134933752099</v>
      </c>
      <c r="FU6">
        <v>0</v>
      </c>
      <c r="FV6">
        <v>0</v>
      </c>
      <c r="FW6" s="2">
        <v>-19.921031110524002</v>
      </c>
      <c r="FX6" s="2">
        <v>-3.0841500296103699</v>
      </c>
      <c r="FY6" s="2">
        <v>0</v>
      </c>
      <c r="FZ6" s="2">
        <v>0</v>
      </c>
      <c r="GA6" s="1">
        <v>119939.96859609</v>
      </c>
      <c r="GB6" s="1">
        <v>2328.49908806129</v>
      </c>
      <c r="GC6" s="1">
        <v>119939.96859609</v>
      </c>
      <c r="GD6" s="1">
        <v>2328.49908806129</v>
      </c>
      <c r="GE6" s="1">
        <v>142261.33344366099</v>
      </c>
      <c r="GF6" s="1">
        <v>2386.2567487240499</v>
      </c>
      <c r="GG6" s="3">
        <v>0</v>
      </c>
      <c r="GH6" s="3">
        <v>0</v>
      </c>
      <c r="GI6" s="2">
        <v>-18.6104474670496</v>
      </c>
      <c r="GJ6" s="2">
        <v>-2.4804673945932598</v>
      </c>
      <c r="GK6" s="2">
        <v>0</v>
      </c>
      <c r="GL6" s="2">
        <v>0</v>
      </c>
    </row>
    <row r="7" spans="1:194" x14ac:dyDescent="0.3">
      <c r="A7" t="s">
        <v>20</v>
      </c>
      <c r="B7">
        <v>9</v>
      </c>
      <c r="D7">
        <v>4</v>
      </c>
      <c r="J7" t="s">
        <v>78</v>
      </c>
      <c r="K7" s="9">
        <v>1642705.8660818499</v>
      </c>
      <c r="L7" s="1">
        <v>2306.96871085353</v>
      </c>
      <c r="M7" s="1">
        <v>3888416.7014038502</v>
      </c>
      <c r="N7" s="1">
        <v>2207.7431749915399</v>
      </c>
      <c r="O7" s="1">
        <v>3888416.7014038502</v>
      </c>
      <c r="P7" s="1">
        <v>2207.7431749915399</v>
      </c>
      <c r="Q7">
        <v>0</v>
      </c>
      <c r="R7">
        <v>15</v>
      </c>
      <c r="S7" s="2">
        <v>-136.708030432643</v>
      </c>
      <c r="T7" s="1">
        <v>4.3011218745689801</v>
      </c>
      <c r="U7" s="2">
        <v>0</v>
      </c>
      <c r="V7" s="1">
        <v>4.3011218745689801</v>
      </c>
      <c r="W7" s="1"/>
      <c r="X7" s="1"/>
      <c r="Y7" s="1">
        <v>1642705.8660818499</v>
      </c>
      <c r="Z7" s="1">
        <v>2306.96871085353</v>
      </c>
      <c r="AA7" s="1">
        <v>4694557.9588513197</v>
      </c>
      <c r="AB7" s="1">
        <v>2129.93466600275</v>
      </c>
      <c r="AC7" s="1">
        <v>3505327.31417264</v>
      </c>
      <c r="AD7" s="1">
        <v>2184.97441659076</v>
      </c>
      <c r="AE7">
        <v>0</v>
      </c>
      <c r="AF7">
        <v>10</v>
      </c>
      <c r="AG7" s="2">
        <v>-113.387398593363</v>
      </c>
      <c r="AH7" s="1">
        <v>5.2880775404028197</v>
      </c>
      <c r="AI7" s="2">
        <v>0</v>
      </c>
      <c r="AJ7" s="1">
        <v>7.6738814886345299</v>
      </c>
      <c r="AK7" s="1">
        <v>1642705.8660818499</v>
      </c>
      <c r="AL7" s="1">
        <v>2306.96871085353</v>
      </c>
      <c r="AM7" s="1">
        <v>2501390.0184809999</v>
      </c>
      <c r="AN7" s="1">
        <v>2155.8464827604898</v>
      </c>
      <c r="AO7" s="1">
        <v>7505774.45715224</v>
      </c>
      <c r="AP7" s="1">
        <v>2206.7732947366899</v>
      </c>
      <c r="AQ7">
        <v>0</v>
      </c>
      <c r="AR7">
        <v>5</v>
      </c>
      <c r="AS7" s="2">
        <v>-356.91530128000699</v>
      </c>
      <c r="AT7" s="1">
        <v>4.3431632013666501</v>
      </c>
      <c r="AU7" s="2">
        <v>0</v>
      </c>
      <c r="AV7" s="1">
        <v>6.55068390750428</v>
      </c>
      <c r="AW7" s="9">
        <v>1642705.8660818499</v>
      </c>
      <c r="AX7" s="1">
        <v>2306.96871085353</v>
      </c>
      <c r="AY7" s="1">
        <v>3888416.7013895302</v>
      </c>
      <c r="AZ7" s="1">
        <v>2207.7431749915499</v>
      </c>
      <c r="BA7" s="1">
        <v>3888416.7013895302</v>
      </c>
      <c r="BB7" s="1">
        <v>2207.7431749915499</v>
      </c>
      <c r="BC7">
        <v>0</v>
      </c>
      <c r="BD7">
        <v>15</v>
      </c>
      <c r="BE7" s="2">
        <v>-136.70803043177199</v>
      </c>
      <c r="BF7" s="1">
        <v>4.3011218745688904</v>
      </c>
      <c r="BG7" s="2">
        <v>0</v>
      </c>
      <c r="BH7" s="1">
        <v>4.3011218745688904</v>
      </c>
      <c r="BI7" s="1">
        <v>1642705.8660818499</v>
      </c>
      <c r="BJ7" s="1">
        <v>2306.96871085353</v>
      </c>
      <c r="BK7" s="1">
        <v>1642705.8660818499</v>
      </c>
      <c r="BL7" s="1">
        <v>2306.96871085353</v>
      </c>
      <c r="BM7" s="1">
        <v>3516597.5072191101</v>
      </c>
      <c r="BN7" s="1">
        <v>2804.16341824046</v>
      </c>
      <c r="BO7">
        <v>0</v>
      </c>
      <c r="BP7">
        <v>0</v>
      </c>
      <c r="BQ7" s="2">
        <v>-114.07347351883701</v>
      </c>
      <c r="BR7" s="2">
        <v>-21.5518617590172</v>
      </c>
      <c r="BS7" s="2">
        <v>0</v>
      </c>
      <c r="BT7" s="2">
        <v>0</v>
      </c>
      <c r="BU7" s="1">
        <v>1642705.8660818499</v>
      </c>
      <c r="BV7" s="1">
        <v>2306.96871085353</v>
      </c>
      <c r="BW7" s="1">
        <v>2191476.1011696798</v>
      </c>
      <c r="BX7" s="1">
        <v>2153.9951905234202</v>
      </c>
      <c r="BY7" s="1">
        <v>5071003.0350467004</v>
      </c>
      <c r="BZ7" s="1">
        <v>2200.7269593707601</v>
      </c>
      <c r="CA7">
        <v>0</v>
      </c>
      <c r="CB7">
        <v>4</v>
      </c>
      <c r="CC7" s="2">
        <v>-208.69817535515</v>
      </c>
      <c r="CD7" s="1">
        <v>4.6052532478199097</v>
      </c>
      <c r="CE7" s="2">
        <v>0</v>
      </c>
      <c r="CF7" s="1">
        <v>6.6309317335090103</v>
      </c>
      <c r="CG7" s="9">
        <v>1642705.8660818499</v>
      </c>
      <c r="CH7" s="1">
        <v>2306.96871085353</v>
      </c>
      <c r="CI7" s="1">
        <v>1642705.8660818499</v>
      </c>
      <c r="CJ7" s="1">
        <v>2306.96871085353</v>
      </c>
      <c r="CK7" s="1">
        <v>7150337.8694369197</v>
      </c>
      <c r="CL7" s="1">
        <v>2581.8376016501102</v>
      </c>
      <c r="CM7">
        <v>0</v>
      </c>
      <c r="CN7">
        <v>0</v>
      </c>
      <c r="CO7" s="2">
        <v>-335.278038331461</v>
      </c>
      <c r="CP7" s="2">
        <v>-11.914721231519801</v>
      </c>
      <c r="CQ7" s="2">
        <v>0</v>
      </c>
      <c r="CR7" s="2">
        <v>0</v>
      </c>
      <c r="CS7" s="1">
        <v>1642705.8660818499</v>
      </c>
      <c r="CT7" s="1">
        <v>2306.96871085353</v>
      </c>
      <c r="CU7" s="1">
        <v>2708592.1007127999</v>
      </c>
      <c r="CV7" s="1">
        <v>2162.8305559739001</v>
      </c>
      <c r="CW7" s="1">
        <v>5972194.46924459</v>
      </c>
      <c r="CX7" s="1">
        <v>2196.8532446740301</v>
      </c>
      <c r="CY7">
        <v>0</v>
      </c>
      <c r="CZ7">
        <v>5</v>
      </c>
      <c r="DA7" s="2">
        <v>-263.558357741142</v>
      </c>
      <c r="DB7" s="1">
        <v>4.7731668687765199</v>
      </c>
      <c r="DC7" s="2">
        <v>0</v>
      </c>
      <c r="DD7" s="1">
        <v>6.24794580877965</v>
      </c>
      <c r="DE7" s="1">
        <v>1642705.8660818499</v>
      </c>
      <c r="DF7" s="1">
        <v>2306.96871085353</v>
      </c>
      <c r="DG7" s="1">
        <v>2191476.10116967</v>
      </c>
      <c r="DH7" s="1">
        <v>2153.9951905234202</v>
      </c>
      <c r="DI7" s="1">
        <v>5607613.3640667005</v>
      </c>
      <c r="DJ7" s="1">
        <v>2176.6305222619299</v>
      </c>
      <c r="DK7">
        <v>0</v>
      </c>
      <c r="DL7">
        <v>4</v>
      </c>
      <c r="DM7" s="2">
        <v>-241.364420731135</v>
      </c>
      <c r="DN7" s="1">
        <v>5.6497597032158202</v>
      </c>
      <c r="DO7" s="2">
        <v>0</v>
      </c>
      <c r="DP7" s="1">
        <v>6.6309317335089899</v>
      </c>
      <c r="DQ7" s="9">
        <v>1642705.8660818499</v>
      </c>
      <c r="DR7" s="1">
        <v>2306.96871085353</v>
      </c>
      <c r="DS7" s="1">
        <v>1994380.30840397</v>
      </c>
      <c r="DT7" s="1">
        <v>2248.5257470675001</v>
      </c>
      <c r="DU7" s="1">
        <v>5147265.0743198004</v>
      </c>
      <c r="DV7" s="1">
        <v>2305.1122447013599</v>
      </c>
      <c r="DW7">
        <v>0</v>
      </c>
      <c r="DX7">
        <v>1</v>
      </c>
      <c r="DY7" s="2">
        <v>-213.34064001347701</v>
      </c>
      <c r="DZ7" s="2">
        <v>8.0472099315220799E-2</v>
      </c>
      <c r="EA7" s="2">
        <v>0</v>
      </c>
      <c r="EB7" s="1">
        <v>2.5333227759470698</v>
      </c>
      <c r="EC7" s="1">
        <v>1642705.8660818499</v>
      </c>
      <c r="ED7" s="1">
        <v>2306.96871085353</v>
      </c>
      <c r="EE7" s="1">
        <v>2708592.11507591</v>
      </c>
      <c r="EF7" s="1">
        <v>2162.8305559739001</v>
      </c>
      <c r="EG7" s="1">
        <v>4140833.1322729001</v>
      </c>
      <c r="EH7" s="1">
        <v>2238.42960130243</v>
      </c>
      <c r="EI7">
        <v>0</v>
      </c>
      <c r="EJ7">
        <v>4</v>
      </c>
      <c r="EK7" s="2">
        <v>-152.07392374810999</v>
      </c>
      <c r="EL7" s="1">
        <v>2.9709596505860101</v>
      </c>
      <c r="EM7" s="2">
        <v>0</v>
      </c>
      <c r="EN7" s="1">
        <v>6.2479458087795798</v>
      </c>
      <c r="EO7" s="1">
        <v>1642705.8660818499</v>
      </c>
      <c r="EP7" s="1">
        <v>2306.96871085353</v>
      </c>
      <c r="EQ7" s="1">
        <v>3012280.3579409099</v>
      </c>
      <c r="ER7" s="1">
        <v>2206.9615971563999</v>
      </c>
      <c r="ES7" s="1">
        <v>3071464.21686396</v>
      </c>
      <c r="ET7" s="1">
        <v>2265.6063571711202</v>
      </c>
      <c r="EU7">
        <v>0</v>
      </c>
      <c r="EV7">
        <v>8</v>
      </c>
      <c r="EW7" s="2">
        <v>-86.975908486280204</v>
      </c>
      <c r="EX7" s="1">
        <v>1.79293084851162</v>
      </c>
      <c r="EY7" s="2">
        <v>0</v>
      </c>
      <c r="EZ7" s="1">
        <v>4.3350008704769403</v>
      </c>
      <c r="FA7" s="1"/>
      <c r="FB7" s="10" t="s">
        <v>20</v>
      </c>
      <c r="FO7" s="2"/>
      <c r="FP7" s="2"/>
      <c r="FQ7" s="2"/>
      <c r="FR7" s="2"/>
      <c r="FS7" s="2"/>
      <c r="FT7" s="2"/>
      <c r="FW7" s="2"/>
      <c r="FX7" s="2"/>
      <c r="FY7" s="2"/>
      <c r="FZ7" s="2"/>
      <c r="GA7" s="1">
        <v>1642705.8660818499</v>
      </c>
      <c r="GB7" s="1">
        <v>2306.96871085353</v>
      </c>
      <c r="GC7" s="1">
        <v>1642705.8660818499</v>
      </c>
      <c r="GD7" s="1">
        <v>2306.96871085353</v>
      </c>
      <c r="GE7" s="1">
        <v>156852159.48692301</v>
      </c>
      <c r="GF7" s="1">
        <v>2483.4095987032001</v>
      </c>
      <c r="GG7">
        <v>0</v>
      </c>
      <c r="GH7">
        <v>0</v>
      </c>
      <c r="GI7" s="2">
        <v>-9448.4019827021202</v>
      </c>
      <c r="GJ7" s="2">
        <v>-7.6481699565136703</v>
      </c>
      <c r="GK7" s="2">
        <v>0</v>
      </c>
      <c r="GL7" s="2">
        <v>0</v>
      </c>
    </row>
    <row r="8" spans="1:194" x14ac:dyDescent="0.3">
      <c r="A8" t="s">
        <v>21</v>
      </c>
      <c r="B8">
        <v>14</v>
      </c>
      <c r="D8">
        <v>4</v>
      </c>
      <c r="J8" t="s">
        <v>78</v>
      </c>
      <c r="K8" s="9">
        <v>1325532.4643824799</v>
      </c>
      <c r="L8" s="1">
        <v>2426.1394635439301</v>
      </c>
      <c r="M8" s="1">
        <v>2759652.7753004599</v>
      </c>
      <c r="N8" s="1">
        <v>2300.9110822074599</v>
      </c>
      <c r="O8" s="1">
        <v>1497910.060941</v>
      </c>
      <c r="P8" s="1">
        <v>2489.2881373576301</v>
      </c>
      <c r="Q8">
        <v>13</v>
      </c>
      <c r="R8">
        <v>0</v>
      </c>
      <c r="S8" s="1">
        <v>45.721067724619203</v>
      </c>
      <c r="T8" s="2">
        <v>-8.18706366390475</v>
      </c>
      <c r="U8" s="1">
        <v>51.967418646059102</v>
      </c>
      <c r="V8" s="2">
        <v>0</v>
      </c>
      <c r="W8" s="2"/>
      <c r="X8" s="2"/>
      <c r="Y8" s="1">
        <v>1479463.4405364399</v>
      </c>
      <c r="Z8" s="1">
        <v>2534.4713879236001</v>
      </c>
      <c r="AA8" s="1">
        <v>2759652.7753004599</v>
      </c>
      <c r="AB8" s="1">
        <v>2300.9110822074599</v>
      </c>
      <c r="AC8" s="1">
        <v>1479463.4405364399</v>
      </c>
      <c r="AD8" s="1">
        <v>2534.4713879236001</v>
      </c>
      <c r="AE8">
        <v>15</v>
      </c>
      <c r="AF8">
        <v>0</v>
      </c>
      <c r="AG8" s="1">
        <v>46.389507630163003</v>
      </c>
      <c r="AH8" s="2">
        <v>-10.1507749483333</v>
      </c>
      <c r="AI8" s="1">
        <v>46.389507630163003</v>
      </c>
      <c r="AJ8" s="2">
        <v>0</v>
      </c>
      <c r="AK8" s="1">
        <v>1288533.3203193899</v>
      </c>
      <c r="AL8" s="1">
        <v>2384.2384957783102</v>
      </c>
      <c r="AM8" s="1">
        <v>2759652.7753004599</v>
      </c>
      <c r="AN8" s="1">
        <v>2300.9110822074599</v>
      </c>
      <c r="AO8" s="1">
        <v>1428517.7574509699</v>
      </c>
      <c r="AP8" s="1">
        <v>2495.1329679055402</v>
      </c>
      <c r="AQ8">
        <v>5</v>
      </c>
      <c r="AR8">
        <v>0</v>
      </c>
      <c r="AS8" s="1">
        <v>48.235597962303501</v>
      </c>
      <c r="AT8" s="2">
        <v>-8.4410861071496104</v>
      </c>
      <c r="AU8" s="1">
        <v>53.308136014353899</v>
      </c>
      <c r="AV8" s="2">
        <v>0</v>
      </c>
      <c r="AW8" s="9">
        <v>1358036.8756113199</v>
      </c>
      <c r="AX8" s="1">
        <v>2418.0419539844602</v>
      </c>
      <c r="AY8" s="1">
        <v>2759652.7753004599</v>
      </c>
      <c r="AZ8" s="1">
        <v>2300.9110822074599</v>
      </c>
      <c r="BA8" s="1">
        <v>1490969.2653598399</v>
      </c>
      <c r="BB8" s="1">
        <v>2485.6212278697999</v>
      </c>
      <c r="BC8">
        <v>12</v>
      </c>
      <c r="BD8">
        <v>0</v>
      </c>
      <c r="BE8" s="1">
        <v>45.972577466833101</v>
      </c>
      <c r="BF8" s="2">
        <v>-8.0276959457788504</v>
      </c>
      <c r="BG8" s="1">
        <v>50.789574407111097</v>
      </c>
      <c r="BH8" s="2">
        <v>0</v>
      </c>
      <c r="BI8" s="1">
        <v>1270360.1397526499</v>
      </c>
      <c r="BJ8" s="1">
        <v>2362.0987643152498</v>
      </c>
      <c r="BK8" s="1">
        <v>2759652.7753004599</v>
      </c>
      <c r="BL8" s="1">
        <v>2300.9110822074599</v>
      </c>
      <c r="BM8" s="1">
        <v>1380923.12779032</v>
      </c>
      <c r="BN8" s="1">
        <v>2427.1524919898802</v>
      </c>
      <c r="BO8">
        <v>8</v>
      </c>
      <c r="BP8">
        <v>0</v>
      </c>
      <c r="BQ8" s="1">
        <v>49.960258038623202</v>
      </c>
      <c r="BR8" s="2">
        <v>-5.4865835867636097</v>
      </c>
      <c r="BS8" s="1">
        <v>53.966667432849697</v>
      </c>
      <c r="BT8" s="2">
        <v>0</v>
      </c>
      <c r="BU8" s="1">
        <v>1265062.25074092</v>
      </c>
      <c r="BV8" s="1">
        <v>2362.0987643152498</v>
      </c>
      <c r="BW8" s="1">
        <v>2759652.7753004599</v>
      </c>
      <c r="BX8" s="1">
        <v>2300.9110822074599</v>
      </c>
      <c r="BY8" s="1">
        <v>1380923.1236720299</v>
      </c>
      <c r="BZ8" s="1">
        <v>2427.1524919898802</v>
      </c>
      <c r="CA8">
        <v>8</v>
      </c>
      <c r="CB8">
        <v>0</v>
      </c>
      <c r="CC8" s="1">
        <v>49.960258187855402</v>
      </c>
      <c r="CD8" s="2">
        <v>-5.4865835867636603</v>
      </c>
      <c r="CE8" s="1">
        <v>54.158644085098999</v>
      </c>
      <c r="CF8" s="2">
        <v>0</v>
      </c>
      <c r="CG8" s="9">
        <v>1302802.28694891</v>
      </c>
      <c r="CH8" s="1">
        <v>2440.6238645257699</v>
      </c>
      <c r="CI8" s="1">
        <v>2759652.7753004599</v>
      </c>
      <c r="CJ8" s="1">
        <v>2300.9110822074599</v>
      </c>
      <c r="CK8" s="1">
        <v>1525811.9641988401</v>
      </c>
      <c r="CL8" s="1">
        <v>2573.7971538286902</v>
      </c>
      <c r="CM8">
        <v>11</v>
      </c>
      <c r="CN8">
        <v>0</v>
      </c>
      <c r="CO8" s="1">
        <v>44.710002002598998</v>
      </c>
      <c r="CP8" s="2">
        <v>-11.859913828544199</v>
      </c>
      <c r="CQ8" s="1">
        <v>52.791079420958297</v>
      </c>
      <c r="CR8" s="2">
        <v>0</v>
      </c>
      <c r="CS8" s="1">
        <v>1045433.59354885</v>
      </c>
      <c r="CT8" s="1">
        <v>2119.46079664334</v>
      </c>
      <c r="CU8" s="1">
        <v>1403254.4727088001</v>
      </c>
      <c r="CV8" s="1">
        <v>2092.01419312911</v>
      </c>
      <c r="CW8" s="1">
        <v>1045433.59354885</v>
      </c>
      <c r="CX8" s="1">
        <v>2119.46079664334</v>
      </c>
      <c r="CY8">
        <v>15</v>
      </c>
      <c r="CZ8">
        <v>10</v>
      </c>
      <c r="DA8" s="1">
        <v>62.117205363452499</v>
      </c>
      <c r="DB8" s="1">
        <v>7.8860190194761897</v>
      </c>
      <c r="DC8" s="1">
        <v>62.117205363452499</v>
      </c>
      <c r="DD8" s="1">
        <v>9.07887708889381</v>
      </c>
      <c r="DE8" s="1">
        <v>1405882.8525751201</v>
      </c>
      <c r="DF8" s="1">
        <v>2369.6935951998198</v>
      </c>
      <c r="DG8" s="1">
        <v>1789233.76533926</v>
      </c>
      <c r="DH8" s="1">
        <v>2275.23778176834</v>
      </c>
      <c r="DI8" s="1">
        <v>1424169.8367769001</v>
      </c>
      <c r="DJ8" s="1">
        <v>2376.5702712530001</v>
      </c>
      <c r="DK8">
        <v>14</v>
      </c>
      <c r="DL8">
        <v>7</v>
      </c>
      <c r="DM8" s="1">
        <v>48.3931511412029</v>
      </c>
      <c r="DN8" s="2">
        <v>-3.2882274169827501</v>
      </c>
      <c r="DO8" s="1">
        <v>49.055806398612702</v>
      </c>
      <c r="DP8" s="1">
        <v>1.11578846473668</v>
      </c>
      <c r="DQ8" s="9">
        <v>1325532.4643824601</v>
      </c>
      <c r="DR8" s="1">
        <v>2426.1394635439301</v>
      </c>
      <c r="DS8" s="1">
        <v>2759652.7753004599</v>
      </c>
      <c r="DT8" s="1">
        <v>2300.9110822074599</v>
      </c>
      <c r="DU8" s="1">
        <v>1604915.3303925099</v>
      </c>
      <c r="DV8" s="1">
        <v>2473.8645871713002</v>
      </c>
      <c r="DW8">
        <v>13</v>
      </c>
      <c r="DX8">
        <v>0</v>
      </c>
      <c r="DY8" s="1">
        <v>41.843577396515698</v>
      </c>
      <c r="DZ8" s="2">
        <v>-7.5167400557656503</v>
      </c>
      <c r="EA8" s="1">
        <v>51.967418646059599</v>
      </c>
      <c r="EB8" s="2">
        <v>0</v>
      </c>
      <c r="EC8" s="1">
        <v>1841823.28836031</v>
      </c>
      <c r="ED8" s="1">
        <v>2446.7974641882802</v>
      </c>
      <c r="EE8" s="1">
        <v>2759652.7753004599</v>
      </c>
      <c r="EF8" s="1">
        <v>2300.9110822074599</v>
      </c>
      <c r="EG8" s="1">
        <v>3934849.1700486098</v>
      </c>
      <c r="EH8" s="1">
        <v>2513.3850358483301</v>
      </c>
      <c r="EI8">
        <v>4</v>
      </c>
      <c r="EJ8">
        <v>0</v>
      </c>
      <c r="EK8" s="2">
        <v>-42.584936962592899</v>
      </c>
      <c r="EL8" s="2">
        <v>-9.2343400526814197</v>
      </c>
      <c r="EM8" s="1">
        <v>33.258875723603197</v>
      </c>
      <c r="EN8" s="2">
        <v>0</v>
      </c>
      <c r="EO8" s="1">
        <v>1822610.17163914</v>
      </c>
      <c r="EP8" s="1">
        <v>2487.10297766535</v>
      </c>
      <c r="EQ8" s="1">
        <v>2759652.7753004599</v>
      </c>
      <c r="ER8" s="1">
        <v>2300.9110822074599</v>
      </c>
      <c r="ES8" s="1">
        <v>3015095.41703304</v>
      </c>
      <c r="ET8" s="1">
        <v>2590.3093008507899</v>
      </c>
      <c r="EU8">
        <v>5</v>
      </c>
      <c r="EV8">
        <v>0</v>
      </c>
      <c r="EW8" s="2">
        <v>-9.2563326813738893</v>
      </c>
      <c r="EX8" s="2">
        <v>-12.577548992709801</v>
      </c>
      <c r="EY8" s="1">
        <v>33.955090729097002</v>
      </c>
      <c r="EZ8" s="2">
        <v>0</v>
      </c>
      <c r="FA8" s="2"/>
      <c r="FB8" s="10" t="s">
        <v>21</v>
      </c>
      <c r="FC8" s="1">
        <v>2027595.7544231899</v>
      </c>
      <c r="FD8" s="1">
        <v>2447.77632220851</v>
      </c>
      <c r="FE8" s="1">
        <v>2759652.7753004502</v>
      </c>
      <c r="FF8" s="1">
        <v>2300.9110822074599</v>
      </c>
      <c r="FG8" s="1">
        <v>2027595.7544231899</v>
      </c>
      <c r="FH8" s="1">
        <v>2447.77632220851</v>
      </c>
      <c r="FI8">
        <v>15</v>
      </c>
      <c r="FJ8">
        <v>0</v>
      </c>
      <c r="FK8" s="1">
        <v>26.527142379263601</v>
      </c>
      <c r="FL8" s="2">
        <v>-6.3829167992073899</v>
      </c>
      <c r="FM8" s="1">
        <v>26.527142379263601</v>
      </c>
      <c r="FN8" s="2">
        <v>0</v>
      </c>
      <c r="FO8" s="1">
        <v>1750476.5215461601</v>
      </c>
      <c r="FP8" s="1">
        <v>2512.69027306198</v>
      </c>
      <c r="FQ8" s="1">
        <v>2759652.7753004502</v>
      </c>
      <c r="FR8" s="1">
        <v>2300.9110822074599</v>
      </c>
      <c r="FS8" s="1">
        <v>1837535.3189822701</v>
      </c>
      <c r="FT8" s="1">
        <v>2659.8411016687801</v>
      </c>
      <c r="FU8">
        <v>6</v>
      </c>
      <c r="FV8">
        <v>0</v>
      </c>
      <c r="FW8" s="1">
        <v>33.4142564807917</v>
      </c>
      <c r="FX8" s="2">
        <v>-15.599473714427999</v>
      </c>
      <c r="FY8" s="1">
        <v>36.568957616213503</v>
      </c>
      <c r="FZ8" s="2">
        <v>0</v>
      </c>
      <c r="GA8" s="2"/>
      <c r="GB8" s="2"/>
      <c r="GC8" s="2"/>
      <c r="GD8" s="2"/>
      <c r="GE8" s="2"/>
      <c r="GF8" s="2"/>
      <c r="GG8" s="3"/>
      <c r="GH8" s="3"/>
      <c r="GI8" s="2"/>
      <c r="GJ8" s="2"/>
      <c r="GK8" s="2"/>
      <c r="GL8" s="2"/>
    </row>
    <row r="9" spans="1:194" x14ac:dyDescent="0.3">
      <c r="A9" t="s">
        <v>22</v>
      </c>
      <c r="B9">
        <v>50</v>
      </c>
      <c r="D9">
        <v>1</v>
      </c>
      <c r="J9" t="s">
        <v>78</v>
      </c>
      <c r="K9" s="9">
        <v>26730841.810751699</v>
      </c>
      <c r="L9" s="1">
        <v>20730.3008434685</v>
      </c>
      <c r="M9" s="1">
        <v>450961021.13932902</v>
      </c>
      <c r="N9" s="1">
        <v>19443.4482359617</v>
      </c>
      <c r="O9" s="1">
        <v>30461828.125709299</v>
      </c>
      <c r="P9" s="1">
        <v>20519.000315677298</v>
      </c>
      <c r="Q9">
        <v>6</v>
      </c>
      <c r="R9">
        <v>0</v>
      </c>
      <c r="S9" s="1">
        <v>93.245130577194999</v>
      </c>
      <c r="T9" s="2">
        <v>-5.5316941041673102</v>
      </c>
      <c r="U9" s="1">
        <v>94.072471775228394</v>
      </c>
      <c r="V9" s="2">
        <v>0</v>
      </c>
      <c r="W9" s="2"/>
      <c r="X9" s="2"/>
      <c r="Y9" s="1">
        <v>22945960.119307999</v>
      </c>
      <c r="Z9" s="1">
        <v>16185.081150173201</v>
      </c>
      <c r="AA9" s="1">
        <v>24107052.648027901</v>
      </c>
      <c r="AB9" s="1">
        <v>16142.367145325399</v>
      </c>
      <c r="AC9" s="1">
        <v>24388709.760419801</v>
      </c>
      <c r="AD9" s="1">
        <v>16172.862060416801</v>
      </c>
      <c r="AE9">
        <v>14</v>
      </c>
      <c r="AF9">
        <v>11</v>
      </c>
      <c r="AG9" s="1">
        <v>94.591836407766806</v>
      </c>
      <c r="AH9" s="1">
        <v>16.821019275252699</v>
      </c>
      <c r="AI9" s="1">
        <v>94.911764200520807</v>
      </c>
      <c r="AJ9" s="1">
        <v>16.977858302576202</v>
      </c>
      <c r="AK9" s="1">
        <v>23360691.085062101</v>
      </c>
      <c r="AL9" s="1">
        <v>16146.3325686713</v>
      </c>
      <c r="AM9" s="1">
        <v>24684780.973949701</v>
      </c>
      <c r="AN9" s="1">
        <v>16101.1046385057</v>
      </c>
      <c r="AO9" s="1">
        <v>23402780.677303899</v>
      </c>
      <c r="AP9" s="1">
        <v>16159.5647309858</v>
      </c>
      <c r="AQ9">
        <v>12</v>
      </c>
      <c r="AR9">
        <v>13</v>
      </c>
      <c r="AS9" s="1">
        <v>94.810464856102598</v>
      </c>
      <c r="AT9" s="1">
        <v>16.889409044750298</v>
      </c>
      <c r="AU9" s="1">
        <v>94.819798166581506</v>
      </c>
      <c r="AV9" s="1">
        <v>17.1900763531964</v>
      </c>
      <c r="AW9" s="9">
        <v>27135195.373660799</v>
      </c>
      <c r="AX9" s="1">
        <v>20876.095668359001</v>
      </c>
      <c r="AY9" s="1">
        <v>450961021.13932902</v>
      </c>
      <c r="AZ9" s="1">
        <v>19443.4482359617</v>
      </c>
      <c r="BA9" s="1">
        <v>32373296.959903501</v>
      </c>
      <c r="BB9" s="1">
        <v>20780.099498008902</v>
      </c>
      <c r="BC9">
        <v>6</v>
      </c>
      <c r="BD9">
        <v>0</v>
      </c>
      <c r="BE9" s="1">
        <v>92.8212649336933</v>
      </c>
      <c r="BF9" s="2">
        <v>-6.8745586987750897</v>
      </c>
      <c r="BG9" s="1">
        <v>93.982806916414802</v>
      </c>
      <c r="BH9" s="2">
        <v>0</v>
      </c>
      <c r="BI9" s="1">
        <v>21411947.809400599</v>
      </c>
      <c r="BJ9" s="1">
        <v>23786.1536550612</v>
      </c>
      <c r="BK9" s="1">
        <v>450961021.13932902</v>
      </c>
      <c r="BL9" s="1">
        <v>19443.4482359617</v>
      </c>
      <c r="BM9" s="1">
        <v>24295762.764589999</v>
      </c>
      <c r="BN9" s="1">
        <v>24879.8159885241</v>
      </c>
      <c r="BO9">
        <v>11</v>
      </c>
      <c r="BP9">
        <v>0</v>
      </c>
      <c r="BQ9" s="1">
        <v>94.612447279099996</v>
      </c>
      <c r="BR9" s="2">
        <v>-27.9598952129667</v>
      </c>
      <c r="BS9" s="1">
        <v>95.2519293673531</v>
      </c>
      <c r="BT9" s="2">
        <v>0</v>
      </c>
      <c r="BU9" s="1">
        <v>22312671.4642944</v>
      </c>
      <c r="BV9" s="1">
        <v>22703.4091008703</v>
      </c>
      <c r="BW9" s="1">
        <v>450961021.13932902</v>
      </c>
      <c r="BX9" s="1">
        <v>19443.4482359617</v>
      </c>
      <c r="BY9" s="1">
        <v>25860165.129087601</v>
      </c>
      <c r="BZ9" s="1">
        <v>23333.656281935298</v>
      </c>
      <c r="CA9">
        <v>12</v>
      </c>
      <c r="CB9">
        <v>0</v>
      </c>
      <c r="CC9" s="1">
        <v>94.265543158529894</v>
      </c>
      <c r="CD9" s="2">
        <v>-20.007809308116599</v>
      </c>
      <c r="CE9" s="1">
        <v>95.052195108144204</v>
      </c>
      <c r="CF9" s="2">
        <v>0</v>
      </c>
      <c r="CG9" s="9">
        <v>27135195.373661</v>
      </c>
      <c r="CH9" s="1">
        <v>20876.095668359001</v>
      </c>
      <c r="CI9" s="1">
        <v>450961021.13932902</v>
      </c>
      <c r="CJ9" s="1">
        <v>19443.4482359617</v>
      </c>
      <c r="CK9" s="1">
        <v>33378764.5002895</v>
      </c>
      <c r="CL9" s="1">
        <v>22250.418119603499</v>
      </c>
      <c r="CM9">
        <v>6</v>
      </c>
      <c r="CN9">
        <v>0</v>
      </c>
      <c r="CO9" s="1">
        <v>92.598303858732606</v>
      </c>
      <c r="CP9" s="2">
        <v>-14.436584753779</v>
      </c>
      <c r="CQ9" s="1">
        <v>93.982806916414702</v>
      </c>
      <c r="CR9" s="2">
        <v>0</v>
      </c>
      <c r="CS9" s="1">
        <v>22055765.113508299</v>
      </c>
      <c r="CT9" s="1">
        <v>16175.519518953501</v>
      </c>
      <c r="CU9" s="1">
        <v>57112614.381212801</v>
      </c>
      <c r="CV9" s="1">
        <v>16051.070368529499</v>
      </c>
      <c r="CW9" s="1">
        <v>23188385.314458001</v>
      </c>
      <c r="CX9" s="1">
        <v>16135.987730610401</v>
      </c>
      <c r="CY9">
        <v>12</v>
      </c>
      <c r="CZ9">
        <v>1</v>
      </c>
      <c r="DA9" s="1">
        <v>94.858006739501803</v>
      </c>
      <c r="DB9" s="1">
        <v>17.010668402089301</v>
      </c>
      <c r="DC9" s="1">
        <v>95.109163745951804</v>
      </c>
      <c r="DD9" s="1">
        <v>17.447408639985099</v>
      </c>
      <c r="DE9" s="1">
        <v>22560191.069216799</v>
      </c>
      <c r="DF9" s="1">
        <v>16350.718229239101</v>
      </c>
      <c r="DG9" s="1">
        <v>23494789.058345601</v>
      </c>
      <c r="DH9" s="1">
        <v>16329.269525681801</v>
      </c>
      <c r="DI9" s="1">
        <v>26969257.3292518</v>
      </c>
      <c r="DJ9" s="1">
        <v>16508.382008437198</v>
      </c>
      <c r="DK9">
        <v>9</v>
      </c>
      <c r="DL9">
        <v>10</v>
      </c>
      <c r="DM9" s="1">
        <v>94.019603454614398</v>
      </c>
      <c r="DN9" s="1">
        <v>15.095399704338099</v>
      </c>
      <c r="DO9" s="1">
        <v>94.997307968608894</v>
      </c>
      <c r="DP9" s="1">
        <v>16.016596811876401</v>
      </c>
      <c r="DQ9" s="9">
        <v>27436429.390005201</v>
      </c>
      <c r="DR9" s="1">
        <v>20781.1304892224</v>
      </c>
      <c r="DS9" s="1">
        <v>450961021.13932902</v>
      </c>
      <c r="DT9" s="1">
        <v>19443.4482359617</v>
      </c>
      <c r="DU9" s="1">
        <v>32215448.491769802</v>
      </c>
      <c r="DV9" s="1">
        <v>22554.1851489537</v>
      </c>
      <c r="DW9">
        <v>6</v>
      </c>
      <c r="DX9">
        <v>0</v>
      </c>
      <c r="DY9" s="1">
        <v>92.856267619232497</v>
      </c>
      <c r="DZ9" s="2">
        <v>-15.998895233194499</v>
      </c>
      <c r="EA9" s="1">
        <v>93.916008678380095</v>
      </c>
      <c r="EB9" s="2">
        <v>0</v>
      </c>
      <c r="EC9" s="1">
        <v>23191635.558913201</v>
      </c>
      <c r="ED9" s="1">
        <v>16796.056856216801</v>
      </c>
      <c r="EE9" s="1">
        <v>47634765.156227998</v>
      </c>
      <c r="EF9" s="1">
        <v>16677.7045908828</v>
      </c>
      <c r="EG9" s="1">
        <v>24704790.756274998</v>
      </c>
      <c r="EH9" s="1">
        <v>16733.538590296699</v>
      </c>
      <c r="EI9">
        <v>14</v>
      </c>
      <c r="EJ9">
        <v>1</v>
      </c>
      <c r="EK9" s="1">
        <v>94.5217458719913</v>
      </c>
      <c r="EL9" s="1">
        <v>13.937392240193599</v>
      </c>
      <c r="EM9" s="1">
        <v>94.857286002164699</v>
      </c>
      <c r="EN9" s="1">
        <v>14.2245532351791</v>
      </c>
      <c r="EO9" s="1">
        <v>26072946.298403598</v>
      </c>
      <c r="EP9" s="1">
        <v>17233.033136665399</v>
      </c>
      <c r="EQ9" s="1">
        <v>32712200.744253501</v>
      </c>
      <c r="ER9" s="1">
        <v>16209.164335928999</v>
      </c>
      <c r="ES9" s="1">
        <v>27548476.391377799</v>
      </c>
      <c r="ET9" s="1">
        <v>17302.674733196</v>
      </c>
      <c r="EU9">
        <v>14</v>
      </c>
      <c r="EV9">
        <v>3</v>
      </c>
      <c r="EW9" s="1">
        <v>93.891162406502801</v>
      </c>
      <c r="EX9" s="1">
        <v>11.010256394780001</v>
      </c>
      <c r="EY9" s="1">
        <v>94.218359220375206</v>
      </c>
      <c r="EZ9" s="1">
        <v>16.634312292665999</v>
      </c>
      <c r="FA9" s="1"/>
      <c r="FB9" s="10" t="s">
        <v>22</v>
      </c>
      <c r="FC9" s="1">
        <v>251760741.10788801</v>
      </c>
      <c r="FD9" s="1">
        <v>19718.387191441201</v>
      </c>
      <c r="FE9" s="1">
        <v>338875500.70782101</v>
      </c>
      <c r="FF9" s="1">
        <v>19358.909683191901</v>
      </c>
      <c r="FG9" s="1">
        <v>251760741.10788801</v>
      </c>
      <c r="FH9" s="1">
        <v>19718.387191441201</v>
      </c>
      <c r="FI9">
        <v>15</v>
      </c>
      <c r="FJ9">
        <v>4</v>
      </c>
      <c r="FK9" s="1">
        <v>44.172394218944802</v>
      </c>
      <c r="FL9" s="2">
        <v>-1.4140442175836201</v>
      </c>
      <c r="FM9" s="1">
        <v>44.172394218944802</v>
      </c>
      <c r="FN9" s="1">
        <v>0.43479197590794399</v>
      </c>
      <c r="FO9" s="1">
        <v>31273976.5226749</v>
      </c>
      <c r="FP9" s="1">
        <v>17196.465722155299</v>
      </c>
      <c r="FQ9" s="1">
        <v>33951558.941350996</v>
      </c>
      <c r="FR9" s="1">
        <v>15991.2457045718</v>
      </c>
      <c r="FS9" s="1">
        <v>31308963.1315169</v>
      </c>
      <c r="FT9" s="1">
        <v>17203.125452582499</v>
      </c>
      <c r="FU9">
        <v>11</v>
      </c>
      <c r="FV9">
        <v>1</v>
      </c>
      <c r="FW9" s="1">
        <v>93.057279528856697</v>
      </c>
      <c r="FX9" s="1">
        <v>11.5222503549323</v>
      </c>
      <c r="FY9" s="1">
        <v>93.065037762318497</v>
      </c>
      <c r="FZ9" s="1">
        <v>17.7550941041663</v>
      </c>
      <c r="GA9" s="1">
        <v>297956171.12455302</v>
      </c>
      <c r="GB9" s="1">
        <v>18478.231992156801</v>
      </c>
      <c r="GC9" s="1">
        <v>346781712.01819998</v>
      </c>
      <c r="GD9" s="1">
        <v>18075.1245575906</v>
      </c>
      <c r="GE9" s="1">
        <v>297956171.12455302</v>
      </c>
      <c r="GF9" s="1">
        <v>18478.231992156801</v>
      </c>
      <c r="GG9" s="3">
        <v>15</v>
      </c>
      <c r="GH9" s="3">
        <v>8</v>
      </c>
      <c r="GI9" s="1">
        <v>33.928619734853797</v>
      </c>
      <c r="GJ9" s="1">
        <v>4.9642235887959503</v>
      </c>
      <c r="GK9" s="1">
        <v>33.928619734853797</v>
      </c>
      <c r="GL9" s="1">
        <v>7.0374537569949602</v>
      </c>
    </row>
    <row r="10" spans="1:194" x14ac:dyDescent="0.3">
      <c r="A10" t="s">
        <v>23</v>
      </c>
      <c r="B10">
        <v>10</v>
      </c>
      <c r="D10">
        <v>4</v>
      </c>
      <c r="J10" t="s">
        <v>78</v>
      </c>
      <c r="K10" s="9">
        <v>2279239.2405815301</v>
      </c>
      <c r="L10" s="1">
        <v>3651.2808169592499</v>
      </c>
      <c r="M10" s="1">
        <v>2279239.2405815301</v>
      </c>
      <c r="N10" s="1">
        <v>3651.2808169592499</v>
      </c>
      <c r="O10" s="1">
        <v>3038315.4620439601</v>
      </c>
      <c r="P10" s="1">
        <v>4312.2848122025198</v>
      </c>
      <c r="Q10">
        <v>7</v>
      </c>
      <c r="R10">
        <v>7</v>
      </c>
      <c r="S10" s="1">
        <v>72.800302152436601</v>
      </c>
      <c r="T10" s="2">
        <v>-8.5316090616521301</v>
      </c>
      <c r="U10" s="1">
        <v>79.595726829358895</v>
      </c>
      <c r="V10" s="1">
        <v>8.1045433086481999</v>
      </c>
      <c r="W10" s="1"/>
      <c r="X10" s="1"/>
      <c r="Y10" s="1">
        <v>913126.92020172102</v>
      </c>
      <c r="Z10" s="1">
        <v>1707.1642549631899</v>
      </c>
      <c r="AA10" s="1">
        <v>1227692.12473371</v>
      </c>
      <c r="AB10" s="1">
        <v>1683.0013347044901</v>
      </c>
      <c r="AC10" s="1">
        <v>1067684.2256261499</v>
      </c>
      <c r="AD10" s="1">
        <v>1716.20731006911</v>
      </c>
      <c r="AE10">
        <v>1</v>
      </c>
      <c r="AF10">
        <v>13</v>
      </c>
      <c r="AG10" s="1">
        <v>90.441845589626595</v>
      </c>
      <c r="AH10" s="1">
        <v>56.806484507215103</v>
      </c>
      <c r="AI10" s="1">
        <v>91.825478086052797</v>
      </c>
      <c r="AJ10" s="1">
        <v>57.642212686992401</v>
      </c>
      <c r="AK10" s="1">
        <v>1696789.7990695799</v>
      </c>
      <c r="AL10" s="1">
        <v>2238.9895623583302</v>
      </c>
      <c r="AM10" s="1">
        <v>1696789.7990695799</v>
      </c>
      <c r="AN10" s="1">
        <v>2238.9895623583302</v>
      </c>
      <c r="AO10" s="1">
        <v>1919455.36924367</v>
      </c>
      <c r="AP10" s="1">
        <v>2268.2045161126298</v>
      </c>
      <c r="AQ10">
        <v>14</v>
      </c>
      <c r="AR10">
        <v>14</v>
      </c>
      <c r="AS10" s="1">
        <v>82.816594679675205</v>
      </c>
      <c r="AT10" s="1">
        <v>42.913815637127001</v>
      </c>
      <c r="AU10" s="1">
        <v>84.809948005045996</v>
      </c>
      <c r="AV10" s="1">
        <v>43.649097761963397</v>
      </c>
      <c r="AW10" s="9">
        <v>3419885.15767173</v>
      </c>
      <c r="AX10" s="1">
        <v>4059.9350169796799</v>
      </c>
      <c r="AY10" s="1">
        <v>4996946.5657301303</v>
      </c>
      <c r="AZ10" s="1">
        <v>3693.7330489728402</v>
      </c>
      <c r="BA10" s="1">
        <v>12157452.8770501</v>
      </c>
      <c r="BB10" s="1">
        <v>4284.0008621033603</v>
      </c>
      <c r="BC10">
        <v>6</v>
      </c>
      <c r="BD10">
        <v>7</v>
      </c>
      <c r="BE10" s="2">
        <v>-8.8363104433191797</v>
      </c>
      <c r="BF10" s="2">
        <v>-7.8197584421857798</v>
      </c>
      <c r="BG10" s="1">
        <v>69.384402599373104</v>
      </c>
      <c r="BH10" s="1">
        <v>7.0361052881221404</v>
      </c>
      <c r="BI10" s="1">
        <v>2320682.4477379802</v>
      </c>
      <c r="BJ10" s="1">
        <v>3120.96190841507</v>
      </c>
      <c r="BK10" s="1">
        <v>2667071.7015289301</v>
      </c>
      <c r="BL10" s="1">
        <v>3073.83316552617</v>
      </c>
      <c r="BM10" s="1">
        <v>3290463.97849723</v>
      </c>
      <c r="BN10" s="1">
        <v>4160.2542098578397</v>
      </c>
      <c r="BO10">
        <v>3</v>
      </c>
      <c r="BP10">
        <v>2</v>
      </c>
      <c r="BQ10" s="1">
        <v>70.543010720418394</v>
      </c>
      <c r="BR10" s="2">
        <v>-4.7053019836989796</v>
      </c>
      <c r="BS10" s="1">
        <v>79.224717720340607</v>
      </c>
      <c r="BT10" s="1">
        <v>22.6377491353045</v>
      </c>
      <c r="BU10" s="1">
        <v>2317052.4995973301</v>
      </c>
      <c r="BV10" s="1">
        <v>3586.4586674600801</v>
      </c>
      <c r="BW10" s="1">
        <v>2317052.4995973301</v>
      </c>
      <c r="BX10" s="1">
        <v>3586.4586674600801</v>
      </c>
      <c r="BY10" s="1">
        <v>2744708.4431453701</v>
      </c>
      <c r="BZ10" s="1">
        <v>4223.7753632038002</v>
      </c>
      <c r="CA10">
        <v>7</v>
      </c>
      <c r="CB10">
        <v>7</v>
      </c>
      <c r="CC10" s="1">
        <v>75.428739620412102</v>
      </c>
      <c r="CD10" s="2">
        <v>-6.3040027380139003</v>
      </c>
      <c r="CE10" s="1">
        <v>79.257213849811606</v>
      </c>
      <c r="CF10" s="1">
        <v>9.7359875416616202</v>
      </c>
      <c r="CG10" s="9">
        <v>2472935.0433751298</v>
      </c>
      <c r="CH10" s="1">
        <v>3740.5102117746901</v>
      </c>
      <c r="CI10" s="1">
        <v>2472935.0433751298</v>
      </c>
      <c r="CJ10" s="1">
        <v>3740.5102117746901</v>
      </c>
      <c r="CK10" s="1">
        <v>18237001.8795854</v>
      </c>
      <c r="CL10" s="1">
        <v>4427.8445438164499</v>
      </c>
      <c r="CM10">
        <v>7</v>
      </c>
      <c r="CN10">
        <v>7</v>
      </c>
      <c r="CO10" s="2">
        <v>-63.261829446922398</v>
      </c>
      <c r="CP10" s="2">
        <v>-11.4400170543947</v>
      </c>
      <c r="CQ10" s="1">
        <v>77.861717515269206</v>
      </c>
      <c r="CR10" s="1">
        <v>5.8588173845362599</v>
      </c>
      <c r="CS10" s="1">
        <v>719429.07357646595</v>
      </c>
      <c r="CT10" s="1">
        <v>1587.4083898681499</v>
      </c>
      <c r="CU10" s="1">
        <v>1141412.10860719</v>
      </c>
      <c r="CV10" s="1">
        <v>1570.79932818148</v>
      </c>
      <c r="CW10" s="1">
        <v>1238733.1941285201</v>
      </c>
      <c r="CX10" s="1">
        <v>1639.3013955094</v>
      </c>
      <c r="CY10">
        <v>6</v>
      </c>
      <c r="CZ10">
        <v>10</v>
      </c>
      <c r="DA10" s="1">
        <v>88.910575937570101</v>
      </c>
      <c r="DB10" s="1">
        <v>58.742053009069203</v>
      </c>
      <c r="DC10" s="1">
        <v>93.5595056969929</v>
      </c>
      <c r="DD10" s="1">
        <v>60.466113435252304</v>
      </c>
      <c r="DE10" s="1">
        <v>1204340.5083544201</v>
      </c>
      <c r="DF10" s="1">
        <v>1978.4094689946201</v>
      </c>
      <c r="DG10" s="1">
        <v>1204340.5083544201</v>
      </c>
      <c r="DH10" s="1">
        <v>1978.4094689946201</v>
      </c>
      <c r="DI10" s="1">
        <v>1713430.9998636099</v>
      </c>
      <c r="DJ10" s="1">
        <v>2054.3559291083602</v>
      </c>
      <c r="DK10">
        <v>11</v>
      </c>
      <c r="DL10">
        <v>11</v>
      </c>
      <c r="DM10" s="1">
        <v>84.660972153435793</v>
      </c>
      <c r="DN10" s="1">
        <v>48.295958110058898</v>
      </c>
      <c r="DO10" s="1">
        <v>89.218467159830695</v>
      </c>
      <c r="DP10" s="1">
        <v>50.2073790568748</v>
      </c>
      <c r="DQ10" s="9">
        <v>2310829.5693187998</v>
      </c>
      <c r="DR10" s="1">
        <v>3592.5812358325002</v>
      </c>
      <c r="DS10" s="1">
        <v>2310829.5693187998</v>
      </c>
      <c r="DT10" s="1">
        <v>3592.5812358325002</v>
      </c>
      <c r="DU10" s="1">
        <v>3610282.1732584499</v>
      </c>
      <c r="DV10" s="1">
        <v>4344.9866212834604</v>
      </c>
      <c r="DW10">
        <v>8</v>
      </c>
      <c r="DX10">
        <v>8</v>
      </c>
      <c r="DY10" s="1">
        <v>67.679924786015107</v>
      </c>
      <c r="DZ10" s="2">
        <v>-9.3546483814898398</v>
      </c>
      <c r="EA10" s="1">
        <v>79.312922950929305</v>
      </c>
      <c r="EB10" s="1">
        <v>9.5818947055000798</v>
      </c>
      <c r="EC10" s="1">
        <v>913126.92020172102</v>
      </c>
      <c r="ED10" s="1">
        <v>1707.1642549631899</v>
      </c>
      <c r="EE10" s="1">
        <v>1091882.0515457201</v>
      </c>
      <c r="EF10" s="1">
        <v>1658.88053304561</v>
      </c>
      <c r="EG10" s="1">
        <v>1205720.23973676</v>
      </c>
      <c r="EH10" s="1">
        <v>1702.98529326164</v>
      </c>
      <c r="EI10">
        <v>1</v>
      </c>
      <c r="EJ10">
        <v>10</v>
      </c>
      <c r="EK10" s="1">
        <v>89.206115487603299</v>
      </c>
      <c r="EL10" s="1">
        <v>57.139256302596998</v>
      </c>
      <c r="EM10" s="1">
        <v>91.825478086052797</v>
      </c>
      <c r="EN10" s="1">
        <v>58.249285162467203</v>
      </c>
      <c r="EO10" s="1">
        <v>1985151.3304767101</v>
      </c>
      <c r="EP10" s="1">
        <v>2857.2793271768801</v>
      </c>
      <c r="EQ10" s="1">
        <v>2395703.0656875698</v>
      </c>
      <c r="ER10" s="1">
        <v>2812.466594642</v>
      </c>
      <c r="ES10" s="1">
        <v>1985151.3304767101</v>
      </c>
      <c r="ET10" s="1">
        <v>2857.2793271768801</v>
      </c>
      <c r="EU10">
        <v>15</v>
      </c>
      <c r="EV10">
        <v>8</v>
      </c>
      <c r="EW10" s="1">
        <v>82.228469345862194</v>
      </c>
      <c r="EX10" s="1">
        <v>28.0879773897136</v>
      </c>
      <c r="EY10" s="1">
        <v>82.228469345862194</v>
      </c>
      <c r="EZ10" s="1">
        <v>29.215824500993801</v>
      </c>
      <c r="FA10" s="1"/>
      <c r="FB10" s="10" t="s">
        <v>25</v>
      </c>
      <c r="FC10" s="1">
        <v>1732902.7008684899</v>
      </c>
      <c r="FD10" s="1">
        <v>2197.5321685690501</v>
      </c>
      <c r="FE10" s="1">
        <v>1732902.7008684899</v>
      </c>
      <c r="FF10" s="1">
        <v>2197.5321685690501</v>
      </c>
      <c r="FG10" s="1">
        <v>1951225.83389013</v>
      </c>
      <c r="FH10" s="1">
        <v>2304.7063454252102</v>
      </c>
      <c r="FI10">
        <v>7</v>
      </c>
      <c r="FJ10">
        <v>7</v>
      </c>
      <c r="FK10" s="1">
        <v>24.190475897195601</v>
      </c>
      <c r="FL10" s="1">
        <v>8.2283124141886397</v>
      </c>
      <c r="FM10" s="1">
        <v>32.6728219831977</v>
      </c>
      <c r="FN10" s="1">
        <v>12.495908194984199</v>
      </c>
      <c r="GA10" s="1">
        <v>1734469.7326593201</v>
      </c>
      <c r="GB10" s="1">
        <v>2198.70805239735</v>
      </c>
      <c r="GC10" s="1">
        <v>1734469.7326593201</v>
      </c>
      <c r="GD10" s="1">
        <v>2198.70805239735</v>
      </c>
      <c r="GE10" s="1">
        <v>1866294.70870111</v>
      </c>
      <c r="GF10" s="1">
        <v>2253.4876971158301</v>
      </c>
      <c r="GG10">
        <v>7</v>
      </c>
      <c r="GH10">
        <v>7</v>
      </c>
      <c r="GI10" s="1">
        <v>27.4902416497224</v>
      </c>
      <c r="GJ10" s="1">
        <v>10.267800785687999</v>
      </c>
      <c r="GK10" s="1">
        <v>32.6119392641221</v>
      </c>
      <c r="GL10" s="1">
        <v>12.449085378037299</v>
      </c>
    </row>
    <row r="11" spans="1:194" x14ac:dyDescent="0.3">
      <c r="A11" t="s">
        <v>24</v>
      </c>
      <c r="B11">
        <v>5</v>
      </c>
      <c r="D11">
        <v>1</v>
      </c>
      <c r="I11" t="s">
        <v>79</v>
      </c>
      <c r="J11" t="s">
        <v>78</v>
      </c>
      <c r="K11" s="9">
        <v>901605.21486996103</v>
      </c>
      <c r="L11" s="1">
        <v>1582.31867347618</v>
      </c>
      <c r="M11" s="1">
        <v>1125227.7759302</v>
      </c>
      <c r="N11" s="1">
        <v>1554.6233053015301</v>
      </c>
      <c r="O11" s="1">
        <v>1230006.03687179</v>
      </c>
      <c r="P11" s="1">
        <v>1682.62715838146</v>
      </c>
      <c r="Q11">
        <v>2</v>
      </c>
      <c r="R11">
        <v>0</v>
      </c>
      <c r="S11" s="2">
        <v>-9.3117378705807194</v>
      </c>
      <c r="T11" s="2">
        <v>-8.2337536458774299</v>
      </c>
      <c r="U11" s="1">
        <v>19.873537237861001</v>
      </c>
      <c r="V11" s="2">
        <v>0</v>
      </c>
      <c r="W11" s="2"/>
      <c r="X11" s="2"/>
      <c r="Y11" s="1">
        <v>719780.85034778598</v>
      </c>
      <c r="Z11" s="1">
        <v>1407.1457776467601</v>
      </c>
      <c r="AA11" s="1">
        <v>968469.13655620697</v>
      </c>
      <c r="AB11" s="1">
        <v>1393.4380717623901</v>
      </c>
      <c r="AC11" s="1">
        <v>979501.21638558595</v>
      </c>
      <c r="AD11" s="1">
        <v>1393.6773988843099</v>
      </c>
      <c r="AE11">
        <v>13</v>
      </c>
      <c r="AF11">
        <v>11</v>
      </c>
      <c r="AG11" s="1">
        <v>12.9508498334171</v>
      </c>
      <c r="AH11" s="1">
        <v>10.352726983338099</v>
      </c>
      <c r="AI11" s="1">
        <v>36.032431322382202</v>
      </c>
      <c r="AJ11" s="1">
        <v>10.368121524325201</v>
      </c>
      <c r="AK11" s="1">
        <v>881072.99251705001</v>
      </c>
      <c r="AL11" s="1">
        <v>1433.9828962281999</v>
      </c>
      <c r="AM11" s="1">
        <v>1054262.1030749199</v>
      </c>
      <c r="AN11" s="1">
        <v>1407.6009587767401</v>
      </c>
      <c r="AO11" s="1">
        <v>1247661.62379268</v>
      </c>
      <c r="AP11" s="1">
        <v>1452.5875619665801</v>
      </c>
      <c r="AQ11">
        <v>10</v>
      </c>
      <c r="AR11">
        <v>13</v>
      </c>
      <c r="AS11" s="2">
        <v>-10.8808056894314</v>
      </c>
      <c r="AT11" s="1">
        <v>6.5633740975701196</v>
      </c>
      <c r="AU11" s="1">
        <v>21.6982542233564</v>
      </c>
      <c r="AV11" s="1">
        <v>9.4571042401989196</v>
      </c>
      <c r="AW11" s="9">
        <v>1068676.74997336</v>
      </c>
      <c r="AX11" s="1">
        <v>1628.8038754034999</v>
      </c>
      <c r="AY11" s="1">
        <v>1125227.7759302</v>
      </c>
      <c r="AZ11" s="1">
        <v>1554.6233053015301</v>
      </c>
      <c r="BA11" s="1">
        <v>1229986.0076717101</v>
      </c>
      <c r="BB11" s="1">
        <v>1682.62715838146</v>
      </c>
      <c r="BC11">
        <v>3</v>
      </c>
      <c r="BD11">
        <v>0</v>
      </c>
      <c r="BE11" s="2">
        <v>-9.3099578576355295</v>
      </c>
      <c r="BF11" s="2">
        <v>-8.2337536458775702</v>
      </c>
      <c r="BG11" s="1">
        <v>5.0257403137863204</v>
      </c>
      <c r="BH11" s="2">
        <v>0</v>
      </c>
      <c r="BI11" s="1">
        <v>740752.24331849394</v>
      </c>
      <c r="BJ11" s="1">
        <v>1606.6768457892399</v>
      </c>
      <c r="BK11" s="1">
        <v>1025343.0853043901</v>
      </c>
      <c r="BL11" s="1">
        <v>1529.58494652121</v>
      </c>
      <c r="BM11" s="1">
        <v>1025477.7515582599</v>
      </c>
      <c r="BN11" s="1">
        <v>1644.93479182388</v>
      </c>
      <c r="BO11">
        <v>10</v>
      </c>
      <c r="BP11">
        <v>7</v>
      </c>
      <c r="BQ11" s="1">
        <v>8.8648739842454898</v>
      </c>
      <c r="BR11" s="2">
        <v>-5.8092199064795702</v>
      </c>
      <c r="BS11" s="1">
        <v>34.1686848508403</v>
      </c>
      <c r="BT11" s="1">
        <v>1.61057400174934</v>
      </c>
      <c r="BU11" s="1">
        <v>901605.21486995695</v>
      </c>
      <c r="BV11" s="1">
        <v>1582.31867347618</v>
      </c>
      <c r="BW11" s="1">
        <v>1260667.9718289999</v>
      </c>
      <c r="BX11" s="1">
        <v>1543.8354694371999</v>
      </c>
      <c r="BY11" s="1">
        <v>998899.70606444206</v>
      </c>
      <c r="BZ11" s="1">
        <v>1588.4407482045301</v>
      </c>
      <c r="CA11">
        <v>2</v>
      </c>
      <c r="CB11">
        <v>8</v>
      </c>
      <c r="CC11" s="1">
        <v>11.226888685833501</v>
      </c>
      <c r="CD11" s="2">
        <v>-2.17528212703861</v>
      </c>
      <c r="CE11" s="1">
        <v>19.873537237861299</v>
      </c>
      <c r="CF11" s="1">
        <v>0.693919602744974</v>
      </c>
      <c r="CG11" s="9">
        <v>1068676.74997335</v>
      </c>
      <c r="CH11" s="1">
        <v>1628.8038754034999</v>
      </c>
      <c r="CI11" s="1">
        <v>1125227.7759302</v>
      </c>
      <c r="CJ11" s="1">
        <v>1554.6233053015301</v>
      </c>
      <c r="CK11" s="1">
        <v>1273564.0142067701</v>
      </c>
      <c r="CL11" s="1">
        <v>1743.7553761265499</v>
      </c>
      <c r="CM11">
        <v>3</v>
      </c>
      <c r="CN11">
        <v>0</v>
      </c>
      <c r="CO11" s="2">
        <v>-13.1827743190878</v>
      </c>
      <c r="CP11" s="2">
        <v>-12.165781265471001</v>
      </c>
      <c r="CQ11" s="1">
        <v>5.0257403137866499</v>
      </c>
      <c r="CR11" s="2">
        <v>0</v>
      </c>
      <c r="CS11" s="1">
        <v>698162.93978855002</v>
      </c>
      <c r="CT11" s="1">
        <v>1410.1033849825601</v>
      </c>
      <c r="CU11" s="1">
        <v>973510.62326983805</v>
      </c>
      <c r="CV11" s="1">
        <v>1392.54995220252</v>
      </c>
      <c r="CW11" s="1">
        <v>698162.93978855002</v>
      </c>
      <c r="CX11" s="1">
        <v>1410.1033849825601</v>
      </c>
      <c r="CY11">
        <v>15</v>
      </c>
      <c r="CZ11">
        <v>14</v>
      </c>
      <c r="DA11" s="1">
        <v>37.953634390922197</v>
      </c>
      <c r="DB11" s="1">
        <v>9.2961375161517292</v>
      </c>
      <c r="DC11" s="1">
        <v>37.953634390922197</v>
      </c>
      <c r="DD11" s="1">
        <v>10.425249161408701</v>
      </c>
      <c r="DE11" s="1">
        <v>858331.07447657594</v>
      </c>
      <c r="DF11" s="1">
        <v>1436.35189483862</v>
      </c>
      <c r="DG11" s="1">
        <v>1057842.3840228601</v>
      </c>
      <c r="DH11" s="1">
        <v>1407.6009587767401</v>
      </c>
      <c r="DI11" s="1">
        <v>1280359.4748997099</v>
      </c>
      <c r="DJ11" s="1">
        <v>1478.3161510349801</v>
      </c>
      <c r="DK11">
        <v>5</v>
      </c>
      <c r="DL11">
        <v>8</v>
      </c>
      <c r="DM11" s="2">
        <v>-13.786692995670199</v>
      </c>
      <c r="DN11" s="1">
        <v>4.9084015405102699</v>
      </c>
      <c r="DO11" s="1">
        <v>23.719348843214501</v>
      </c>
      <c r="DP11" s="1">
        <v>9.4571042401988503</v>
      </c>
      <c r="DQ11" s="9">
        <v>901605.21486995905</v>
      </c>
      <c r="DR11" s="1">
        <v>1582.31867347618</v>
      </c>
      <c r="DS11" s="1">
        <v>1125227.7759302</v>
      </c>
      <c r="DT11" s="1">
        <v>1554.6233053015301</v>
      </c>
      <c r="DU11" s="1">
        <v>1230006.03687179</v>
      </c>
      <c r="DV11" s="1">
        <v>1682.62715838145</v>
      </c>
      <c r="DW11">
        <v>2</v>
      </c>
      <c r="DX11">
        <v>0</v>
      </c>
      <c r="DY11" s="2">
        <v>-9.3117378705806804</v>
      </c>
      <c r="DZ11" s="2">
        <v>-8.2337536458773002</v>
      </c>
      <c r="EA11" s="1">
        <v>19.8735372378612</v>
      </c>
      <c r="EB11" s="2">
        <v>0</v>
      </c>
      <c r="EC11" s="1">
        <v>760522.11735269299</v>
      </c>
      <c r="ED11" s="1">
        <v>1410.6501901596801</v>
      </c>
      <c r="EE11" s="1">
        <v>835493.261384969</v>
      </c>
      <c r="EF11" s="1">
        <v>1398.88490136827</v>
      </c>
      <c r="EG11" s="1">
        <v>1104835.57937224</v>
      </c>
      <c r="EH11" s="1">
        <v>1478.17300059994</v>
      </c>
      <c r="EI11">
        <v>4</v>
      </c>
      <c r="EJ11">
        <v>13</v>
      </c>
      <c r="EK11" s="1">
        <v>1.8122727677160599</v>
      </c>
      <c r="EL11" s="1">
        <v>4.9176095868938701</v>
      </c>
      <c r="EM11" s="1">
        <v>32.411718443051797</v>
      </c>
      <c r="EN11" s="1">
        <v>10.017758218480401</v>
      </c>
      <c r="EO11" s="1">
        <v>750132.24185352598</v>
      </c>
      <c r="EP11" s="1">
        <v>1260.9601781445199</v>
      </c>
      <c r="EQ11" s="1">
        <v>750132.24185352598</v>
      </c>
      <c r="ER11" s="1">
        <v>1260.9601781445199</v>
      </c>
      <c r="ES11" s="1">
        <v>1041078.3226467</v>
      </c>
      <c r="ET11" s="1">
        <v>1314.1531727387201</v>
      </c>
      <c r="EU11">
        <v>14</v>
      </c>
      <c r="EV11">
        <v>14</v>
      </c>
      <c r="EW11" s="1">
        <v>7.47843726252969</v>
      </c>
      <c r="EX11" s="1">
        <v>15.4680643048876</v>
      </c>
      <c r="EY11" s="1">
        <v>33.335075981980097</v>
      </c>
      <c r="EZ11" s="1">
        <v>18.889664535168301</v>
      </c>
      <c r="FA11" s="1"/>
      <c r="FB11" s="10" t="s">
        <v>26</v>
      </c>
      <c r="FO11" s="1">
        <v>838799.592734657</v>
      </c>
      <c r="FP11" s="1">
        <v>2598.6916866312299</v>
      </c>
      <c r="FQ11" s="1">
        <v>838799.592734657</v>
      </c>
      <c r="FR11" s="1">
        <v>2598.6916866312299</v>
      </c>
      <c r="FS11" s="1">
        <v>838799.592734657</v>
      </c>
      <c r="FT11" s="1">
        <v>2598.6916866312299</v>
      </c>
      <c r="FU11">
        <v>15</v>
      </c>
      <c r="FV11">
        <v>15</v>
      </c>
      <c r="FW11" s="1">
        <v>41.207741294815698</v>
      </c>
      <c r="FX11" s="1">
        <v>2.2074519131239301</v>
      </c>
      <c r="FY11" s="1">
        <v>41.207741294815698</v>
      </c>
      <c r="FZ11" s="1">
        <v>2.2074519131239301</v>
      </c>
      <c r="GA11" s="1">
        <v>1426717.75367713</v>
      </c>
      <c r="GB11" s="1">
        <v>2657.3514418732898</v>
      </c>
      <c r="GC11" s="1">
        <v>1426717.75367713</v>
      </c>
      <c r="GD11" s="1">
        <v>2657.3514418732898</v>
      </c>
      <c r="GE11" s="1">
        <v>1902365.2480092</v>
      </c>
      <c r="GF11" s="1">
        <v>2910.7170301492602</v>
      </c>
      <c r="GG11">
        <v>0</v>
      </c>
      <c r="GH11">
        <v>0</v>
      </c>
      <c r="GI11" s="2">
        <v>-33.338583830345499</v>
      </c>
      <c r="GJ11" s="2">
        <v>-9.5345156189563696</v>
      </c>
      <c r="GK11" s="2">
        <v>0</v>
      </c>
      <c r="GL11" s="2">
        <v>0</v>
      </c>
    </row>
    <row r="12" spans="1:194" x14ac:dyDescent="0.3">
      <c r="A12" t="s">
        <v>25</v>
      </c>
      <c r="B12">
        <v>11</v>
      </c>
      <c r="D12">
        <v>3</v>
      </c>
      <c r="I12" t="s">
        <v>78</v>
      </c>
      <c r="J12" t="s">
        <v>78</v>
      </c>
      <c r="K12" s="9">
        <v>2071637.0081223401</v>
      </c>
      <c r="L12" s="1">
        <v>2557.5052438725202</v>
      </c>
      <c r="M12" s="1">
        <v>9045141.3869686592</v>
      </c>
      <c r="N12" s="1">
        <v>2332.1833773672702</v>
      </c>
      <c r="O12" s="1">
        <v>9410485.7711947504</v>
      </c>
      <c r="P12" s="1">
        <v>2359.6525219917198</v>
      </c>
      <c r="Q12">
        <v>1</v>
      </c>
      <c r="R12">
        <v>14</v>
      </c>
      <c r="S12" s="2">
        <v>-265.61859498760401</v>
      </c>
      <c r="T12" s="1">
        <v>6.0403966478670101</v>
      </c>
      <c r="U12" s="1">
        <v>19.5122302238121</v>
      </c>
      <c r="V12" s="1">
        <v>7.1341974974759497</v>
      </c>
      <c r="W12" s="1"/>
      <c r="X12" s="1"/>
      <c r="Y12" s="1">
        <v>1264217.6446887299</v>
      </c>
      <c r="Z12" s="1">
        <v>2022.0088095414801</v>
      </c>
      <c r="AA12" s="1">
        <v>1366684.5008132099</v>
      </c>
      <c r="AB12" s="1">
        <v>1865.5695471143599</v>
      </c>
      <c r="AC12" s="1">
        <v>1315465.9129574001</v>
      </c>
      <c r="AD12" s="1">
        <v>1903.2184814049899</v>
      </c>
      <c r="AE12">
        <v>12</v>
      </c>
      <c r="AF12">
        <v>13</v>
      </c>
      <c r="AG12" s="1">
        <v>48.891182608046002</v>
      </c>
      <c r="AH12" s="1">
        <v>24.215259688184901</v>
      </c>
      <c r="AI12" s="1">
        <v>50.882293406735599</v>
      </c>
      <c r="AJ12" s="1">
        <v>25.7144121691579</v>
      </c>
      <c r="AK12" s="1">
        <v>1875868.9169682299</v>
      </c>
      <c r="AL12" s="1">
        <v>2302.1223905799402</v>
      </c>
      <c r="AM12" s="1">
        <v>3532670.2388640102</v>
      </c>
      <c r="AN12" s="1">
        <v>2113.6805643708299</v>
      </c>
      <c r="AO12" s="1">
        <v>3532670.2388640102</v>
      </c>
      <c r="AP12" s="1">
        <v>2113.6805643708299</v>
      </c>
      <c r="AQ12">
        <v>10</v>
      </c>
      <c r="AR12">
        <v>15</v>
      </c>
      <c r="AS12" s="2">
        <v>-37.252205751329903</v>
      </c>
      <c r="AT12" s="1">
        <v>15.834816528934301</v>
      </c>
      <c r="AU12" s="1">
        <v>27.118262066532001</v>
      </c>
      <c r="AV12" s="1">
        <v>15.834816528934301</v>
      </c>
      <c r="AW12" s="9">
        <v>2071637.00812265</v>
      </c>
      <c r="AX12" s="1">
        <v>2557.5052438725202</v>
      </c>
      <c r="AY12" s="1">
        <v>7215725.6968399398</v>
      </c>
      <c r="AZ12" s="1">
        <v>2149.2825887373101</v>
      </c>
      <c r="BA12" s="1">
        <v>7739580.3662186302</v>
      </c>
      <c r="BB12" s="1">
        <v>2167.6658544716001</v>
      </c>
      <c r="BC12">
        <v>1</v>
      </c>
      <c r="BD12">
        <v>14</v>
      </c>
      <c r="BE12" s="2">
        <v>-200.700151734169</v>
      </c>
      <c r="BF12" s="1">
        <v>13.6851625449503</v>
      </c>
      <c r="BG12" s="1">
        <v>19.512230223799801</v>
      </c>
      <c r="BH12" s="1">
        <v>14.4171704743432</v>
      </c>
      <c r="BI12" s="1">
        <v>1263280.7167088301</v>
      </c>
      <c r="BJ12" s="1">
        <v>3234.5306482372098</v>
      </c>
      <c r="BK12" s="1">
        <v>2020130.9559953299</v>
      </c>
      <c r="BL12" s="1">
        <v>2503.7891451215401</v>
      </c>
      <c r="BM12" s="1">
        <v>1359687.81921053</v>
      </c>
      <c r="BN12" s="1">
        <v>3237.2952300624702</v>
      </c>
      <c r="BO12">
        <v>14</v>
      </c>
      <c r="BP12">
        <v>2</v>
      </c>
      <c r="BQ12" s="1">
        <v>47.173061819698198</v>
      </c>
      <c r="BR12" s="2">
        <v>-28.906681350555399</v>
      </c>
      <c r="BS12" s="1">
        <v>50.9186951717395</v>
      </c>
      <c r="BT12" s="1">
        <v>0.30098382688023001</v>
      </c>
      <c r="BU12" s="1">
        <v>1254354.90434568</v>
      </c>
      <c r="BV12" s="1">
        <v>2837.24559570565</v>
      </c>
      <c r="BW12" s="1">
        <v>2004995.3367128</v>
      </c>
      <c r="BX12" s="1">
        <v>2475.3699529042301</v>
      </c>
      <c r="BY12" s="1">
        <v>1467032.5505494201</v>
      </c>
      <c r="BZ12" s="1">
        <v>2883.8899450152499</v>
      </c>
      <c r="CA12">
        <v>13</v>
      </c>
      <c r="CB12">
        <v>3</v>
      </c>
      <c r="CC12" s="1">
        <v>43.002476920501699</v>
      </c>
      <c r="CD12" s="2">
        <v>-14.834346506289499</v>
      </c>
      <c r="CE12" s="1">
        <v>51.265483111776</v>
      </c>
      <c r="CF12" s="1">
        <v>1.43261486299249</v>
      </c>
      <c r="CG12" s="9">
        <v>2071637.0081223401</v>
      </c>
      <c r="CH12" s="1">
        <v>2557.5052438725202</v>
      </c>
      <c r="CI12" s="1">
        <v>2573853.1628879001</v>
      </c>
      <c r="CJ12" s="1">
        <v>2511.3478961255701</v>
      </c>
      <c r="CK12" s="1">
        <v>6111467.3539685197</v>
      </c>
      <c r="CL12" s="1">
        <v>2512.16808704198</v>
      </c>
      <c r="CM12">
        <v>1</v>
      </c>
      <c r="CN12">
        <v>0</v>
      </c>
      <c r="CO12" s="2">
        <v>-137.444289444677</v>
      </c>
      <c r="CP12" s="2">
        <v>-3.26593905078498E-2</v>
      </c>
      <c r="CQ12" s="1">
        <v>19.5122302238121</v>
      </c>
      <c r="CR12" s="2">
        <v>0</v>
      </c>
      <c r="CS12" s="1">
        <v>2573853.1628879001</v>
      </c>
      <c r="CT12" s="1">
        <v>2511.3478961255701</v>
      </c>
      <c r="CU12" s="1">
        <v>4297603.1946484996</v>
      </c>
      <c r="CV12" s="1">
        <v>1996.38521478341</v>
      </c>
      <c r="CW12" s="1">
        <v>4297603.1946484996</v>
      </c>
      <c r="CX12" s="1">
        <v>1996.38521478341</v>
      </c>
      <c r="CY12">
        <v>0</v>
      </c>
      <c r="CZ12">
        <v>15</v>
      </c>
      <c r="DA12" s="2">
        <v>-66.971576180613596</v>
      </c>
      <c r="DB12" s="1">
        <v>20.505429858468698</v>
      </c>
      <c r="DC12" s="2">
        <v>0</v>
      </c>
      <c r="DD12" s="1">
        <v>20.505429858468698</v>
      </c>
      <c r="DE12" s="1">
        <v>2086109.9448191701</v>
      </c>
      <c r="DF12" s="1">
        <v>2478.5573098576901</v>
      </c>
      <c r="DG12" s="1">
        <v>3918303.43130332</v>
      </c>
      <c r="DH12" s="1">
        <v>1999.7316088710199</v>
      </c>
      <c r="DI12" s="1">
        <v>3918303.43130332</v>
      </c>
      <c r="DJ12" s="1">
        <v>1999.7316088710199</v>
      </c>
      <c r="DK12">
        <v>1</v>
      </c>
      <c r="DL12">
        <v>15</v>
      </c>
      <c r="DM12" s="2">
        <v>-52.234924967783698</v>
      </c>
      <c r="DN12" s="1">
        <v>20.372178941987901</v>
      </c>
      <c r="DO12" s="1">
        <v>18.949923993390101</v>
      </c>
      <c r="DP12" s="1">
        <v>20.372178941987901</v>
      </c>
      <c r="DQ12" s="9">
        <v>1893508.5407561101</v>
      </c>
      <c r="DR12" s="1">
        <v>2562.6984593441498</v>
      </c>
      <c r="DS12" s="1">
        <v>2573853.1628879001</v>
      </c>
      <c r="DT12" s="1">
        <v>2511.3478961255701</v>
      </c>
      <c r="DU12" s="1">
        <v>3746405.4076689798</v>
      </c>
      <c r="DV12" s="1">
        <v>2744.7072010258898</v>
      </c>
      <c r="DW12">
        <v>2</v>
      </c>
      <c r="DX12">
        <v>0</v>
      </c>
      <c r="DY12" s="2">
        <v>-45.556299080615197</v>
      </c>
      <c r="DZ12" s="2">
        <v>-9.2921934575586906</v>
      </c>
      <c r="EA12" s="1">
        <v>26.432922901026199</v>
      </c>
      <c r="EB12" s="2">
        <v>0</v>
      </c>
      <c r="EC12" s="1">
        <v>1156809.84520333</v>
      </c>
      <c r="ED12" s="1">
        <v>1872.8983310225699</v>
      </c>
      <c r="EE12" s="1">
        <v>1164464.9083817001</v>
      </c>
      <c r="EF12" s="1">
        <v>1863.7787505537999</v>
      </c>
      <c r="EG12" s="1">
        <v>1164464.9083817001</v>
      </c>
      <c r="EH12" s="1">
        <v>1863.7787505537999</v>
      </c>
      <c r="EI12">
        <v>14</v>
      </c>
      <c r="EJ12">
        <v>15</v>
      </c>
      <c r="EK12" s="1">
        <v>54.757912177276097</v>
      </c>
      <c r="EL12" s="1">
        <v>25.785720352437899</v>
      </c>
      <c r="EM12" s="1">
        <v>55.055328645656502</v>
      </c>
      <c r="EN12" s="1">
        <v>25.785720352437899</v>
      </c>
      <c r="EO12" s="1">
        <v>2024052.4138657299</v>
      </c>
      <c r="EP12" s="1">
        <v>2517.6507088344501</v>
      </c>
      <c r="EQ12" s="1">
        <v>6170348.1633032104</v>
      </c>
      <c r="ER12" s="1">
        <v>2115.4898499205601</v>
      </c>
      <c r="ES12" s="1">
        <v>6170348.1633032104</v>
      </c>
      <c r="ET12" s="1">
        <v>2115.4898499205601</v>
      </c>
      <c r="EU12">
        <v>1</v>
      </c>
      <c r="EV12">
        <v>15</v>
      </c>
      <c r="EW12" s="2">
        <v>-139.73194167688999</v>
      </c>
      <c r="EX12" s="1">
        <v>15.7627721278972</v>
      </c>
      <c r="EY12" s="1">
        <v>21.3609990247183</v>
      </c>
      <c r="EZ12" s="1">
        <v>15.7627721278972</v>
      </c>
      <c r="FA12" s="1"/>
      <c r="FB12" s="10" t="s">
        <v>27</v>
      </c>
      <c r="FO12" s="1">
        <v>142116494.36234501</v>
      </c>
      <c r="FP12" s="1">
        <v>12827.1031637508</v>
      </c>
      <c r="FQ12" s="1">
        <v>2670536670.5740499</v>
      </c>
      <c r="FR12" s="1">
        <v>12370.546443319599</v>
      </c>
      <c r="FS12" s="1">
        <v>4551112616.7460499</v>
      </c>
      <c r="FT12" s="1">
        <v>12531.3489450775</v>
      </c>
      <c r="FU12">
        <v>2</v>
      </c>
      <c r="FV12">
        <v>6</v>
      </c>
      <c r="FW12" s="2">
        <v>-2532.58604209328</v>
      </c>
      <c r="FX12" s="2">
        <v>-0.78646703872517998</v>
      </c>
      <c r="FY12" s="1">
        <v>17.792871564440201</v>
      </c>
      <c r="FZ12" s="1">
        <v>0.50682677299473899</v>
      </c>
      <c r="GA12" s="2"/>
      <c r="GB12" s="2"/>
      <c r="GC12" s="2"/>
      <c r="GD12" s="2"/>
      <c r="GE12" s="2"/>
      <c r="GF12" s="2"/>
      <c r="GG12" s="3"/>
      <c r="GH12" s="3"/>
      <c r="GI12" s="2"/>
      <c r="GJ12" s="2"/>
      <c r="GK12" s="2"/>
      <c r="GL12" s="2"/>
    </row>
    <row r="13" spans="1:194" x14ac:dyDescent="0.3">
      <c r="A13" t="s">
        <v>26</v>
      </c>
      <c r="B13">
        <v>21</v>
      </c>
      <c r="D13">
        <v>3</v>
      </c>
      <c r="K13" s="9">
        <v>1072028.3350458599</v>
      </c>
      <c r="L13" s="1">
        <v>2738.5185915199299</v>
      </c>
      <c r="M13" s="1">
        <v>1426717.75367714</v>
      </c>
      <c r="N13" s="1">
        <v>2657.3514418732898</v>
      </c>
      <c r="O13" s="1">
        <v>1522420.64504585</v>
      </c>
      <c r="P13" s="1">
        <v>2750.5951983907198</v>
      </c>
      <c r="Q13">
        <v>3</v>
      </c>
      <c r="R13">
        <v>0</v>
      </c>
      <c r="S13" s="2">
        <v>-6.7079063901780396</v>
      </c>
      <c r="T13" s="2">
        <v>-3.5088981851683001</v>
      </c>
      <c r="U13" s="1">
        <v>24.860517626357399</v>
      </c>
      <c r="V13" s="2">
        <v>0</v>
      </c>
      <c r="W13" s="2"/>
      <c r="X13" s="2"/>
      <c r="Y13" s="1">
        <v>1236615.4277333501</v>
      </c>
      <c r="Z13" s="1">
        <v>2755.6589334158898</v>
      </c>
      <c r="AA13" s="1">
        <v>1426717.75367714</v>
      </c>
      <c r="AB13" s="1">
        <v>2657.3514418732898</v>
      </c>
      <c r="AC13" s="1">
        <v>1461419.2976237501</v>
      </c>
      <c r="AD13" s="1">
        <v>2818.7742375582902</v>
      </c>
      <c r="AE13">
        <v>1</v>
      </c>
      <c r="AF13">
        <v>0</v>
      </c>
      <c r="AG13" s="2">
        <v>-2.4322641151115199</v>
      </c>
      <c r="AH13" s="2">
        <v>-6.0745745986540101</v>
      </c>
      <c r="AI13" s="1">
        <v>13.3244522579067</v>
      </c>
      <c r="AJ13" s="2">
        <v>0</v>
      </c>
      <c r="AK13" s="1">
        <v>878799.43203989102</v>
      </c>
      <c r="AL13" s="1">
        <v>3101.50774027645</v>
      </c>
      <c r="AM13" s="1">
        <v>1426717.75367714</v>
      </c>
      <c r="AN13" s="1">
        <v>2657.3514418732898</v>
      </c>
      <c r="AO13" s="1">
        <v>908496.52132130903</v>
      </c>
      <c r="AP13" s="1">
        <v>3101.6616371250502</v>
      </c>
      <c r="AQ13">
        <v>14</v>
      </c>
      <c r="AR13">
        <v>0</v>
      </c>
      <c r="AS13" s="1">
        <v>36.322617491805801</v>
      </c>
      <c r="AT13" s="2">
        <v>-16.720038917341999</v>
      </c>
      <c r="AU13" s="1">
        <v>38.404114634802703</v>
      </c>
      <c r="AV13" s="2">
        <v>0</v>
      </c>
      <c r="AW13" s="10"/>
      <c r="BI13" s="1">
        <v>1020640.0966104</v>
      </c>
      <c r="BJ13" s="1">
        <v>2865.3744851429401</v>
      </c>
      <c r="BK13" s="1">
        <v>1120639.45709567</v>
      </c>
      <c r="BL13" s="1">
        <v>2635.7739398336798</v>
      </c>
      <c r="BM13" s="1">
        <v>1020640.0966104</v>
      </c>
      <c r="BN13" s="1">
        <v>2865.3744851429401</v>
      </c>
      <c r="BO13">
        <v>15</v>
      </c>
      <c r="BP13">
        <v>1</v>
      </c>
      <c r="BQ13" s="1">
        <v>28.462367978539401</v>
      </c>
      <c r="BR13" s="2">
        <v>-7.8282096975102098</v>
      </c>
      <c r="BS13" s="1">
        <v>28.462367978539401</v>
      </c>
      <c r="BT13" s="1">
        <v>0.81199278723896795</v>
      </c>
      <c r="BU13" s="1">
        <v>943374.18940709205</v>
      </c>
      <c r="BV13" s="1">
        <v>2780.27629556581</v>
      </c>
      <c r="BW13" s="1">
        <v>1426717.75367714</v>
      </c>
      <c r="BX13" s="1">
        <v>2657.3514418732898</v>
      </c>
      <c r="BY13" s="1">
        <v>1016898.86751643</v>
      </c>
      <c r="BZ13" s="1">
        <v>2815.15094176306</v>
      </c>
      <c r="CA13">
        <v>14</v>
      </c>
      <c r="CB13">
        <v>0</v>
      </c>
      <c r="CC13" s="1">
        <v>28.724594272725898</v>
      </c>
      <c r="CD13" s="2">
        <v>-5.9382247076257899</v>
      </c>
      <c r="CE13" s="1">
        <v>33.8780086688</v>
      </c>
      <c r="CF13" s="2">
        <v>0</v>
      </c>
      <c r="CG13" s="9">
        <v>1090154.8659957999</v>
      </c>
      <c r="CH13" s="1">
        <v>2777.7559908448202</v>
      </c>
      <c r="CI13" s="1">
        <v>1426717.75367714</v>
      </c>
      <c r="CJ13" s="1">
        <v>2657.3514418732898</v>
      </c>
      <c r="CK13" s="1">
        <v>1713932.98790475</v>
      </c>
      <c r="CL13" s="1">
        <v>3020.4289077373901</v>
      </c>
      <c r="CM13">
        <v>3</v>
      </c>
      <c r="CN13">
        <v>0</v>
      </c>
      <c r="CO13" s="2">
        <v>-20.131188070475801</v>
      </c>
      <c r="CP13" s="2">
        <v>-13.6631331536695</v>
      </c>
      <c r="CQ13" s="1">
        <v>23.590011886646799</v>
      </c>
      <c r="CR13" s="2">
        <v>0</v>
      </c>
      <c r="CS13" s="1">
        <v>685299.05346565903</v>
      </c>
      <c r="CT13" s="1">
        <v>2266.1829566596198</v>
      </c>
      <c r="CU13" s="1">
        <v>1533656.7321357799</v>
      </c>
      <c r="CV13" s="1">
        <v>2248.1831102829901</v>
      </c>
      <c r="CW13" s="1">
        <v>869558.90165547002</v>
      </c>
      <c r="CX13" s="1">
        <v>2300.7488398477599</v>
      </c>
      <c r="CY13">
        <v>11</v>
      </c>
      <c r="CZ13">
        <v>6</v>
      </c>
      <c r="DA13" s="1">
        <v>39.051792170223003</v>
      </c>
      <c r="DB13" s="1">
        <v>13.419474609430701</v>
      </c>
      <c r="DC13" s="1">
        <v>51.966739623207999</v>
      </c>
      <c r="DD13" s="1">
        <v>15.397599472272001</v>
      </c>
      <c r="DE13" s="1">
        <v>1017426.8025816299</v>
      </c>
      <c r="DF13" s="1">
        <v>2685.58047298274</v>
      </c>
      <c r="DG13" s="1">
        <v>1816547.3550627001</v>
      </c>
      <c r="DH13" s="1">
        <v>2592.1202860738499</v>
      </c>
      <c r="DI13" s="1">
        <v>1188952.58406814</v>
      </c>
      <c r="DJ13" s="1">
        <v>2659.4178495943902</v>
      </c>
      <c r="DK13">
        <v>3</v>
      </c>
      <c r="DL13">
        <v>13</v>
      </c>
      <c r="DM13" s="1">
        <v>16.6651861586633</v>
      </c>
      <c r="DN13" s="2">
        <v>-7.7761928231989602E-2</v>
      </c>
      <c r="DO13" s="1">
        <v>28.687590803480401</v>
      </c>
      <c r="DP13" s="1">
        <v>2.4547432745084699</v>
      </c>
      <c r="DQ13" s="9">
        <v>1017426.80258164</v>
      </c>
      <c r="DR13" s="1">
        <v>2685.58047298274</v>
      </c>
      <c r="DS13" s="1">
        <v>1426717.75367714</v>
      </c>
      <c r="DT13" s="1">
        <v>2657.3514418732898</v>
      </c>
      <c r="DU13" s="1">
        <v>1492036.3339104799</v>
      </c>
      <c r="DV13" s="1">
        <v>2880.2496812540298</v>
      </c>
      <c r="DW13">
        <v>3</v>
      </c>
      <c r="DX13">
        <v>0</v>
      </c>
      <c r="DY13" s="2">
        <v>-4.5782412158948498</v>
      </c>
      <c r="DZ13" s="2">
        <v>-8.3879849638408697</v>
      </c>
      <c r="EA13" s="1">
        <v>28.687590803479999</v>
      </c>
      <c r="EB13" s="2">
        <v>0</v>
      </c>
      <c r="EC13" s="1">
        <v>807011.57805961196</v>
      </c>
      <c r="ED13" s="1">
        <v>2430.0113302325299</v>
      </c>
      <c r="EE13" s="1">
        <v>807011.57805961196</v>
      </c>
      <c r="EF13" s="1">
        <v>2430.0113302325299</v>
      </c>
      <c r="EG13" s="1">
        <v>807011.57805961196</v>
      </c>
      <c r="EH13" s="1">
        <v>2430.0113302325299</v>
      </c>
      <c r="EI13">
        <v>15</v>
      </c>
      <c r="EJ13">
        <v>15</v>
      </c>
      <c r="EK13" s="1">
        <v>43.435793381019799</v>
      </c>
      <c r="EL13" s="1">
        <v>8.5551390778968592</v>
      </c>
      <c r="EM13" s="1">
        <v>43.435793381019799</v>
      </c>
      <c r="EN13" s="1">
        <v>8.5551390778968592</v>
      </c>
      <c r="EO13" s="1">
        <v>1111603.6098468499</v>
      </c>
      <c r="EP13" s="1">
        <v>3014.51120001445</v>
      </c>
      <c r="EQ13" s="1">
        <v>1426717.75367714</v>
      </c>
      <c r="ER13" s="1">
        <v>2657.3514418732898</v>
      </c>
      <c r="ES13" s="1">
        <v>1805172.1175776201</v>
      </c>
      <c r="ET13" s="1">
        <v>3285.9446790790998</v>
      </c>
      <c r="EU13">
        <v>9</v>
      </c>
      <c r="EV13">
        <v>0</v>
      </c>
      <c r="EW13" s="2">
        <v>-26.5262251713817</v>
      </c>
      <c r="EX13" s="2">
        <v>-23.6548778344008</v>
      </c>
      <c r="EY13" s="1">
        <v>22.086649094968301</v>
      </c>
      <c r="EZ13" s="2">
        <v>0</v>
      </c>
      <c r="FA13" s="2"/>
      <c r="FB13" s="10" t="s">
        <v>28</v>
      </c>
      <c r="FC13" s="1">
        <v>60410.663374092801</v>
      </c>
      <c r="FD13" s="1">
        <v>595.91816191191401</v>
      </c>
      <c r="FE13" s="1">
        <v>60410.663374092801</v>
      </c>
      <c r="FF13" s="1">
        <v>595.91816191191401</v>
      </c>
      <c r="FG13" s="1">
        <v>161503817.64582899</v>
      </c>
      <c r="FH13" s="1">
        <v>766.95987522505595</v>
      </c>
      <c r="FI13">
        <v>0</v>
      </c>
      <c r="FJ13">
        <v>0</v>
      </c>
      <c r="FK13" s="2">
        <v>-267243.22820743901</v>
      </c>
      <c r="FL13" s="2">
        <v>-28.702215210957799</v>
      </c>
      <c r="FM13" s="2">
        <v>0</v>
      </c>
      <c r="FN13" s="2">
        <v>0</v>
      </c>
      <c r="FO13" s="2"/>
      <c r="FP13" s="2"/>
      <c r="FQ13" s="2"/>
      <c r="FR13" s="2"/>
      <c r="FS13" s="2"/>
      <c r="FT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3"/>
      <c r="GH13" s="3"/>
      <c r="GI13" s="2"/>
      <c r="GJ13" s="2"/>
      <c r="GK13" s="2"/>
      <c r="GL13" s="2"/>
    </row>
    <row r="14" spans="1:194" x14ac:dyDescent="0.3">
      <c r="A14" t="s">
        <v>27</v>
      </c>
      <c r="B14">
        <v>20</v>
      </c>
      <c r="D14">
        <v>4</v>
      </c>
      <c r="K14" s="9">
        <v>103393590.12067901</v>
      </c>
      <c r="L14" s="1">
        <v>12556.989807718899</v>
      </c>
      <c r="M14" s="1">
        <v>127328249.510057</v>
      </c>
      <c r="N14" s="1">
        <v>12329.161750629801</v>
      </c>
      <c r="O14" s="1">
        <v>109188159.93255401</v>
      </c>
      <c r="P14" s="1">
        <v>12437.614033567999</v>
      </c>
      <c r="Q14">
        <v>12</v>
      </c>
      <c r="R14">
        <v>8</v>
      </c>
      <c r="S14" s="1">
        <v>36.840230069755599</v>
      </c>
      <c r="T14" s="2">
        <v>-3.2580876059151699E-2</v>
      </c>
      <c r="U14" s="1">
        <v>40.192092546317703</v>
      </c>
      <c r="V14" s="1">
        <v>0.83967337905165296</v>
      </c>
      <c r="W14" s="1"/>
      <c r="X14" s="1"/>
      <c r="Y14" s="1">
        <v>88015087.015668496</v>
      </c>
      <c r="Z14" s="1">
        <v>12496.9059502124</v>
      </c>
      <c r="AA14" s="1">
        <v>104942084.182842</v>
      </c>
      <c r="AB14" s="1">
        <v>12182.651890397799</v>
      </c>
      <c r="AC14" s="1">
        <v>217015360.379592</v>
      </c>
      <c r="AD14" s="1">
        <v>12388.0098244523</v>
      </c>
      <c r="AE14">
        <v>11</v>
      </c>
      <c r="AF14">
        <v>12</v>
      </c>
      <c r="AG14" s="2">
        <v>-25.5322943565555</v>
      </c>
      <c r="AH14" s="1">
        <v>0.36637321969921099</v>
      </c>
      <c r="AI14" s="1">
        <v>49.087770599542601</v>
      </c>
      <c r="AJ14" s="1">
        <v>2.0180150934062402</v>
      </c>
      <c r="AK14" s="1">
        <v>105523841.94653501</v>
      </c>
      <c r="AL14" s="1">
        <v>12352.366489619801</v>
      </c>
      <c r="AM14" s="1">
        <v>3583714944.3297801</v>
      </c>
      <c r="AN14" s="1">
        <v>12175.4338792948</v>
      </c>
      <c r="AO14" s="1">
        <v>8967785224.4086895</v>
      </c>
      <c r="AP14" s="1">
        <v>12510.3672589913</v>
      </c>
      <c r="AQ14">
        <v>2</v>
      </c>
      <c r="AR14">
        <v>12</v>
      </c>
      <c r="AS14" s="2">
        <v>-5087.4054101411903</v>
      </c>
      <c r="AT14" s="2">
        <v>-0.61771664940846105</v>
      </c>
      <c r="AU14" s="1">
        <v>38.959850741916597</v>
      </c>
      <c r="AV14" s="1">
        <v>2.0760677293441798</v>
      </c>
      <c r="AW14" s="9">
        <v>106800372.34734599</v>
      </c>
      <c r="AX14" s="1">
        <v>12787.621667732899</v>
      </c>
      <c r="AY14" s="1">
        <v>124175741.74337</v>
      </c>
      <c r="AZ14" s="1">
        <v>12329.1610120119</v>
      </c>
      <c r="BA14" s="1">
        <v>144010268.10819599</v>
      </c>
      <c r="BB14" s="1">
        <v>12764.680235253099</v>
      </c>
      <c r="BC14">
        <v>3</v>
      </c>
      <c r="BD14">
        <v>8</v>
      </c>
      <c r="BE14" s="1">
        <v>16.697420242955999</v>
      </c>
      <c r="BF14" s="2">
        <v>-2.6630915337779899</v>
      </c>
      <c r="BG14" s="1">
        <v>38.221443148327701</v>
      </c>
      <c r="BH14" s="1">
        <v>0.83967931956863096</v>
      </c>
      <c r="BI14" s="1">
        <v>85926296.6527666</v>
      </c>
      <c r="BJ14" s="1">
        <v>13611.2930216771</v>
      </c>
      <c r="BK14" s="1">
        <v>172876120.43733799</v>
      </c>
      <c r="BL14" s="1">
        <v>12433.5630697945</v>
      </c>
      <c r="BM14" s="1">
        <v>113450209.576893</v>
      </c>
      <c r="BN14" s="1">
        <v>15370.8307280314</v>
      </c>
      <c r="BO14">
        <v>9</v>
      </c>
      <c r="BP14">
        <v>0</v>
      </c>
      <c r="BQ14" s="1">
        <v>34.374852183234196</v>
      </c>
      <c r="BR14" s="2">
        <v>-23.623700155369001</v>
      </c>
      <c r="BS14" s="1">
        <v>50.296029066714098</v>
      </c>
      <c r="BT14" s="2">
        <v>0</v>
      </c>
      <c r="BU14" s="1">
        <v>94078621.0708891</v>
      </c>
      <c r="BV14" s="1">
        <v>12601.691211752101</v>
      </c>
      <c r="BW14" s="1">
        <v>172876120.43733799</v>
      </c>
      <c r="BX14" s="1">
        <v>12433.5630697945</v>
      </c>
      <c r="BY14" s="1">
        <v>103416334.73549099</v>
      </c>
      <c r="BZ14" s="1">
        <v>13081.2269062383</v>
      </c>
      <c r="CA14">
        <v>13</v>
      </c>
      <c r="CB14">
        <v>0</v>
      </c>
      <c r="CC14" s="1">
        <v>40.178935949122597</v>
      </c>
      <c r="CD14" s="2">
        <v>-5.2089962692774598</v>
      </c>
      <c r="CE14" s="1">
        <v>45.580326054928101</v>
      </c>
      <c r="CF14" s="2">
        <v>0</v>
      </c>
      <c r="CG14" s="9">
        <v>106592117.680176</v>
      </c>
      <c r="CH14" s="1">
        <v>12598.637968882</v>
      </c>
      <c r="CI14" s="1">
        <v>127328249.51006401</v>
      </c>
      <c r="CJ14" s="1">
        <v>12329.161750629801</v>
      </c>
      <c r="CK14" s="1">
        <v>108729679.899938</v>
      </c>
      <c r="CL14" s="1">
        <v>12372.0806212633</v>
      </c>
      <c r="CM14">
        <v>13</v>
      </c>
      <c r="CN14">
        <v>8</v>
      </c>
      <c r="CO14" s="1">
        <v>37.105437335777097</v>
      </c>
      <c r="CP14" s="1">
        <v>0.49448776819708201</v>
      </c>
      <c r="CQ14" s="1">
        <v>38.3419078294204</v>
      </c>
      <c r="CR14" s="1">
        <v>0.83967337905168604</v>
      </c>
      <c r="CS14" s="1">
        <v>93279086.618956506</v>
      </c>
      <c r="CT14" s="1">
        <v>11568.7773978523</v>
      </c>
      <c r="CU14" s="1">
        <v>106834435.170719</v>
      </c>
      <c r="CV14" s="1">
        <v>11229.1104826833</v>
      </c>
      <c r="CW14" s="1">
        <v>109387880.007328</v>
      </c>
      <c r="CX14" s="1">
        <v>12033.300681761801</v>
      </c>
      <c r="CY14">
        <v>11</v>
      </c>
      <c r="CZ14">
        <v>3</v>
      </c>
      <c r="DA14" s="1">
        <v>36.724702214162797</v>
      </c>
      <c r="DB14" s="1">
        <v>3.2192090536381501</v>
      </c>
      <c r="DC14" s="1">
        <v>46.042815871283203</v>
      </c>
      <c r="DD14" s="1">
        <v>9.6871072302451005</v>
      </c>
      <c r="DE14" s="1">
        <v>99024073.988439798</v>
      </c>
      <c r="DF14" s="1">
        <v>11817.9671609782</v>
      </c>
      <c r="DG14" s="1">
        <v>142394675.65876299</v>
      </c>
      <c r="DH14" s="1">
        <v>11811.9428461806</v>
      </c>
      <c r="DI14" s="1">
        <v>99024073.988439798</v>
      </c>
      <c r="DJ14" s="1">
        <v>11817.9671609782</v>
      </c>
      <c r="DK14">
        <v>15</v>
      </c>
      <c r="DL14">
        <v>12</v>
      </c>
      <c r="DM14" s="1">
        <v>42.719634303493699</v>
      </c>
      <c r="DN14" s="1">
        <v>4.9510820459164897</v>
      </c>
      <c r="DO14" s="1">
        <v>42.719634303493699</v>
      </c>
      <c r="DP14" s="1">
        <v>4.9995340846741998</v>
      </c>
      <c r="DQ14" s="9">
        <v>106800955.486182</v>
      </c>
      <c r="DR14" s="1">
        <v>12787.621667732899</v>
      </c>
      <c r="DS14" s="1">
        <v>172876120.43733799</v>
      </c>
      <c r="DT14" s="1">
        <v>12433.5630697945</v>
      </c>
      <c r="DU14" s="1">
        <v>303001650.431822</v>
      </c>
      <c r="DV14" s="1">
        <v>13749.3766349257</v>
      </c>
      <c r="DW14">
        <v>3</v>
      </c>
      <c r="DX14">
        <v>0</v>
      </c>
      <c r="DY14" s="2">
        <v>-75.270968405176603</v>
      </c>
      <c r="DZ14" s="2">
        <v>-10.582755383513099</v>
      </c>
      <c r="EA14" s="1">
        <v>38.221105832314997</v>
      </c>
      <c r="EB14" s="2">
        <v>0</v>
      </c>
      <c r="EO14" s="1">
        <v>100978569.109271</v>
      </c>
      <c r="EP14" s="1">
        <v>12610.1315861118</v>
      </c>
      <c r="EQ14" s="1">
        <v>132384824.787909</v>
      </c>
      <c r="ER14" s="1">
        <v>12232.7242295493</v>
      </c>
      <c r="ES14" s="1">
        <v>127747964.559092</v>
      </c>
      <c r="ET14" s="1">
        <v>12944.849524916301</v>
      </c>
      <c r="EU14">
        <v>11</v>
      </c>
      <c r="EV14">
        <v>1</v>
      </c>
      <c r="EW14" s="1">
        <v>26.1043316821786</v>
      </c>
      <c r="EX14" s="2">
        <v>-4.1121475175843001</v>
      </c>
      <c r="EY14" s="1">
        <v>41.589058770049803</v>
      </c>
      <c r="EZ14" s="1">
        <v>1.61529594628476</v>
      </c>
      <c r="FA14" s="1"/>
      <c r="FB14" s="10" t="s">
        <v>29</v>
      </c>
      <c r="FC14" s="1">
        <v>4074516.8641983201</v>
      </c>
      <c r="FD14" s="1">
        <v>2056.8506474343799</v>
      </c>
      <c r="FE14" s="1">
        <v>4074516.8641983201</v>
      </c>
      <c r="FF14" s="1">
        <v>2056.8506474343799</v>
      </c>
      <c r="FG14" s="1">
        <v>46989174.905209899</v>
      </c>
      <c r="FH14" s="1">
        <v>2211.1178785317602</v>
      </c>
      <c r="FI14">
        <v>0</v>
      </c>
      <c r="FJ14">
        <v>0</v>
      </c>
      <c r="FK14" s="2">
        <v>-1053.24531647153</v>
      </c>
      <c r="FL14" s="2">
        <v>-7.5001668832786503</v>
      </c>
      <c r="FM14" s="2">
        <v>0</v>
      </c>
      <c r="FN14" s="2">
        <v>0</v>
      </c>
      <c r="FO14" s="1">
        <v>1100749.63535804</v>
      </c>
      <c r="FP14" s="1">
        <v>1542.70260069855</v>
      </c>
      <c r="FQ14" s="1">
        <v>2172528.8620205601</v>
      </c>
      <c r="FR14" s="1">
        <v>1505.4682090945701</v>
      </c>
      <c r="FS14" s="1">
        <v>1100749.63535804</v>
      </c>
      <c r="FT14" s="1">
        <v>1542.70260069855</v>
      </c>
      <c r="FU14">
        <v>15</v>
      </c>
      <c r="FV14">
        <v>9</v>
      </c>
      <c r="FW14" s="1">
        <v>72.984536031006797</v>
      </c>
      <c r="FX14" s="1">
        <v>24.996858540854799</v>
      </c>
      <c r="FY14" s="1">
        <v>72.984536031006797</v>
      </c>
      <c r="FZ14" s="1">
        <v>26.807120829486301</v>
      </c>
      <c r="GA14" s="1">
        <v>3920455.0552661102</v>
      </c>
      <c r="GB14" s="1">
        <v>2010.4869989245999</v>
      </c>
      <c r="GC14" s="1">
        <v>3920455.0552661102</v>
      </c>
      <c r="GD14" s="1">
        <v>2010.4869989245999</v>
      </c>
      <c r="GE14" s="1">
        <v>106009167.559861</v>
      </c>
      <c r="GF14" s="1">
        <v>2110.2066702074399</v>
      </c>
      <c r="GG14" s="3">
        <v>2</v>
      </c>
      <c r="GH14" s="3">
        <v>2</v>
      </c>
      <c r="GI14" s="2">
        <v>-2501.76043180327</v>
      </c>
      <c r="GJ14" s="2">
        <v>-2.5940640288885302</v>
      </c>
      <c r="GK14" s="1">
        <v>3.78110617938174</v>
      </c>
      <c r="GL14" s="1">
        <v>2.2541086572143501</v>
      </c>
    </row>
    <row r="15" spans="1:194" x14ac:dyDescent="0.3">
      <c r="A15" t="s">
        <v>28</v>
      </c>
      <c r="B15">
        <v>19</v>
      </c>
      <c r="D15">
        <v>4</v>
      </c>
      <c r="K15" s="9">
        <v>33592.237247599798</v>
      </c>
      <c r="L15" s="1">
        <v>604.62356650242396</v>
      </c>
      <c r="M15" s="1">
        <v>60410.663374081101</v>
      </c>
      <c r="N15" s="1">
        <v>595.90819814304996</v>
      </c>
      <c r="O15" s="1">
        <v>33887.731561808199</v>
      </c>
      <c r="P15" s="1">
        <v>653.78371194150202</v>
      </c>
      <c r="Q15">
        <v>6</v>
      </c>
      <c r="R15">
        <v>0</v>
      </c>
      <c r="S15" s="1">
        <v>43.9043876211636</v>
      </c>
      <c r="T15" s="2">
        <v>-9.7121526400880605</v>
      </c>
      <c r="U15" s="1">
        <v>44.393530262055698</v>
      </c>
      <c r="V15" s="2">
        <v>0</v>
      </c>
      <c r="W15" s="2"/>
      <c r="X15" s="2"/>
      <c r="Y15" s="1">
        <v>13584.440338677899</v>
      </c>
      <c r="Z15" s="1">
        <v>516.68610985691805</v>
      </c>
      <c r="AA15" s="1">
        <v>13676.234670550801</v>
      </c>
      <c r="AB15" s="1">
        <v>468.144944544341</v>
      </c>
      <c r="AC15" s="1">
        <v>13676.234670550801</v>
      </c>
      <c r="AD15" s="1">
        <v>468.144944544341</v>
      </c>
      <c r="AE15">
        <v>11</v>
      </c>
      <c r="AF15">
        <v>15</v>
      </c>
      <c r="AG15" s="1">
        <v>77.361224150340007</v>
      </c>
      <c r="AH15" s="1">
        <v>21.440089932785099</v>
      </c>
      <c r="AI15" s="1">
        <v>77.513174694740499</v>
      </c>
      <c r="AJ15" s="1">
        <v>21.440089932785099</v>
      </c>
      <c r="AK15" s="1">
        <v>15794.9357395158</v>
      </c>
      <c r="AL15" s="1">
        <v>531.04553506150501</v>
      </c>
      <c r="AM15" s="1">
        <v>17231.479109683201</v>
      </c>
      <c r="AN15" s="1">
        <v>527.28363786630996</v>
      </c>
      <c r="AO15" s="1">
        <v>17231.479109683201</v>
      </c>
      <c r="AP15" s="1">
        <v>527.28363786630996</v>
      </c>
      <c r="AQ15">
        <v>10</v>
      </c>
      <c r="AR15">
        <v>15</v>
      </c>
      <c r="AS15" s="1">
        <v>71.476096855648194</v>
      </c>
      <c r="AT15" s="1">
        <v>11.515961769041899</v>
      </c>
      <c r="AU15" s="1">
        <v>73.854060099110598</v>
      </c>
      <c r="AV15" s="1">
        <v>11.515961769041899</v>
      </c>
      <c r="AW15" s="9">
        <v>33655.6157751297</v>
      </c>
      <c r="AX15" s="1">
        <v>657.08344875311798</v>
      </c>
      <c r="AY15" s="1">
        <v>60410.663374081101</v>
      </c>
      <c r="AZ15" s="1">
        <v>595.90819814304996</v>
      </c>
      <c r="BA15" s="1">
        <v>38675.2298489893</v>
      </c>
      <c r="BB15" s="1">
        <v>663.53773160436799</v>
      </c>
      <c r="BC15">
        <v>11</v>
      </c>
      <c r="BD15">
        <v>0</v>
      </c>
      <c r="BE15" s="1">
        <v>35.979465066455802</v>
      </c>
      <c r="BF15" s="2">
        <v>-11.348985241696999</v>
      </c>
      <c r="BG15" s="1">
        <v>44.288617447015902</v>
      </c>
      <c r="BH15" s="2">
        <v>0</v>
      </c>
      <c r="BI15" s="1">
        <v>15151.378470081299</v>
      </c>
      <c r="BJ15" s="1">
        <v>522.30670603110298</v>
      </c>
      <c r="BK15" s="1">
        <v>15151.378470081299</v>
      </c>
      <c r="BL15" s="1">
        <v>522.30670603110298</v>
      </c>
      <c r="BM15" s="1">
        <v>15151.378470081299</v>
      </c>
      <c r="BN15" s="1">
        <v>522.30670603110298</v>
      </c>
      <c r="BO15">
        <v>15</v>
      </c>
      <c r="BP15">
        <v>15</v>
      </c>
      <c r="BQ15" s="1">
        <v>74.919364191948304</v>
      </c>
      <c r="BR15" s="1">
        <v>12.351146089498499</v>
      </c>
      <c r="BS15" s="1">
        <v>74.919364191948304</v>
      </c>
      <c r="BT15" s="1">
        <v>12.351146089498499</v>
      </c>
      <c r="BU15" s="1">
        <v>21770.6549431694</v>
      </c>
      <c r="BV15" s="1">
        <v>545.18645143405104</v>
      </c>
      <c r="BW15" s="1">
        <v>22674.149604181399</v>
      </c>
      <c r="BX15" s="1">
        <v>540.93889960875504</v>
      </c>
      <c r="BY15" s="1">
        <v>21770.6549431694</v>
      </c>
      <c r="BZ15" s="1">
        <v>545.18645143405104</v>
      </c>
      <c r="CA15">
        <v>15</v>
      </c>
      <c r="CB15">
        <v>13</v>
      </c>
      <c r="CC15" s="1">
        <v>63.962231620667801</v>
      </c>
      <c r="CD15" s="1">
        <v>8.5116712384653805</v>
      </c>
      <c r="CE15" s="1">
        <v>63.962231620667801</v>
      </c>
      <c r="CF15" s="1">
        <v>9.2244575096615709</v>
      </c>
      <c r="CG15" s="9">
        <v>33655.615775129503</v>
      </c>
      <c r="CH15" s="1">
        <v>657.04103127127098</v>
      </c>
      <c r="CI15" s="1">
        <v>60410.663374081101</v>
      </c>
      <c r="CJ15" s="1">
        <v>595.90819814304996</v>
      </c>
      <c r="CK15" s="1">
        <v>38675.229848989897</v>
      </c>
      <c r="CL15" s="1">
        <v>663.53774978075296</v>
      </c>
      <c r="CM15">
        <v>11</v>
      </c>
      <c r="CN15">
        <v>0</v>
      </c>
      <c r="CO15" s="1">
        <v>35.9794650664548</v>
      </c>
      <c r="CP15" s="2">
        <v>-11.3489882918959</v>
      </c>
      <c r="CQ15" s="1">
        <v>44.2886174470162</v>
      </c>
      <c r="CR15" s="2">
        <v>0</v>
      </c>
      <c r="CS15" s="1">
        <v>15151.378470081299</v>
      </c>
      <c r="CT15" s="1">
        <v>522.30670603120802</v>
      </c>
      <c r="CU15" s="1">
        <v>15151.378470081299</v>
      </c>
      <c r="CV15" s="1">
        <v>522.30670603120802</v>
      </c>
      <c r="CW15" s="1">
        <v>15151.378470081299</v>
      </c>
      <c r="CX15" s="1">
        <v>522.30670603120802</v>
      </c>
      <c r="CY15">
        <v>15</v>
      </c>
      <c r="CZ15">
        <v>15</v>
      </c>
      <c r="DA15" s="1">
        <v>74.919364191948304</v>
      </c>
      <c r="DB15" s="1">
        <v>12.351146089481</v>
      </c>
      <c r="DC15" s="1">
        <v>74.919364191948304</v>
      </c>
      <c r="DD15" s="1">
        <v>12.351146089481</v>
      </c>
      <c r="DE15" s="1">
        <v>21770.6549431698</v>
      </c>
      <c r="DF15" s="1">
        <v>545.18645198876504</v>
      </c>
      <c r="DG15" s="1">
        <v>22674.149604181301</v>
      </c>
      <c r="DH15" s="1">
        <v>540.937061962656</v>
      </c>
      <c r="DI15" s="1">
        <v>21770.6549431698</v>
      </c>
      <c r="DJ15" s="1">
        <v>545.18645198876504</v>
      </c>
      <c r="DK15">
        <v>15</v>
      </c>
      <c r="DL15">
        <v>13</v>
      </c>
      <c r="DM15" s="1">
        <v>63.962231620667097</v>
      </c>
      <c r="DN15" s="1">
        <v>8.5116711453782496</v>
      </c>
      <c r="DO15" s="1">
        <v>63.962231620667097</v>
      </c>
      <c r="DP15" s="1">
        <v>9.2247658870432794</v>
      </c>
      <c r="DQ15" s="10"/>
      <c r="EC15" s="9">
        <v>8484.1705721496401</v>
      </c>
      <c r="ED15" s="1">
        <v>394.92460813192099</v>
      </c>
      <c r="EE15" s="1">
        <v>8484.1705721496401</v>
      </c>
      <c r="EF15" s="1">
        <v>394.92460813192099</v>
      </c>
      <c r="EG15" s="1">
        <v>8484.1705721496401</v>
      </c>
      <c r="EH15" s="1">
        <v>394.92460813192099</v>
      </c>
      <c r="EI15">
        <v>15</v>
      </c>
      <c r="EJ15">
        <v>15</v>
      </c>
      <c r="EK15" s="1">
        <v>85.955839419254303</v>
      </c>
      <c r="EL15" s="1">
        <v>33.727273871617697</v>
      </c>
      <c r="EM15" s="1">
        <v>85.955839419254303</v>
      </c>
      <c r="EN15" s="1">
        <v>33.727273871617697</v>
      </c>
      <c r="EO15" s="1">
        <v>37832.154460751502</v>
      </c>
      <c r="EP15" s="1">
        <v>620.23600835584102</v>
      </c>
      <c r="EQ15" s="1">
        <v>60410.663374081101</v>
      </c>
      <c r="ER15" s="1">
        <v>595.90819814304996</v>
      </c>
      <c r="ES15" s="1">
        <v>380598.03625791898</v>
      </c>
      <c r="ET15" s="1">
        <v>677.21451020533004</v>
      </c>
      <c r="EU15">
        <v>7</v>
      </c>
      <c r="EV15">
        <v>0</v>
      </c>
      <c r="EW15" s="2">
        <v>-530.01797199468001</v>
      </c>
      <c r="EX15" s="2">
        <v>-13.644100268404401</v>
      </c>
      <c r="EY15" s="1">
        <v>37.3750388627859</v>
      </c>
      <c r="EZ15" s="2">
        <v>0</v>
      </c>
      <c r="FA15" s="2"/>
      <c r="FB15" s="10" t="s">
        <v>31</v>
      </c>
      <c r="FC15" s="1">
        <v>12475897.1674025</v>
      </c>
      <c r="FD15" s="1">
        <v>7775.5887354733804</v>
      </c>
      <c r="FE15" s="1">
        <v>20289153.452782899</v>
      </c>
      <c r="FF15" s="1">
        <v>7360.0107660919502</v>
      </c>
      <c r="FG15" s="1">
        <v>12478427.045602201</v>
      </c>
      <c r="FH15" s="1">
        <v>7782.0740802693299</v>
      </c>
      <c r="FI15">
        <v>6</v>
      </c>
      <c r="FJ15">
        <v>0</v>
      </c>
      <c r="FK15" s="1">
        <v>38.497054228299199</v>
      </c>
      <c r="FL15" s="2">
        <v>-5.7345475107435098</v>
      </c>
      <c r="FM15" s="1">
        <v>38.509523344892102</v>
      </c>
      <c r="FN15" s="2">
        <v>0</v>
      </c>
      <c r="FO15" s="1">
        <v>5679448.7880589999</v>
      </c>
      <c r="FP15" s="1">
        <v>7647.6533646664902</v>
      </c>
      <c r="FQ15" s="1">
        <v>20289153.452812299</v>
      </c>
      <c r="FR15" s="1">
        <v>7360.0107660919502</v>
      </c>
      <c r="FS15" s="1">
        <v>6891107.4607002297</v>
      </c>
      <c r="FT15" s="1">
        <v>7992.9825111267301</v>
      </c>
      <c r="FU15">
        <v>7</v>
      </c>
      <c r="FV15">
        <v>0</v>
      </c>
      <c r="FW15" s="1">
        <v>66.035510171839803</v>
      </c>
      <c r="FX15" s="2">
        <v>-8.6001469991174808</v>
      </c>
      <c r="FY15" s="1">
        <v>72.007462996087796</v>
      </c>
      <c r="FZ15" s="2">
        <v>0</v>
      </c>
      <c r="GA15" s="1">
        <v>4078516.7945945598</v>
      </c>
      <c r="GB15" s="1">
        <v>7608.2016540969698</v>
      </c>
      <c r="GC15" s="1">
        <v>6237240.4719933299</v>
      </c>
      <c r="GD15" s="1">
        <v>7293.93139709361</v>
      </c>
      <c r="GE15" s="1">
        <v>4078516.7945945598</v>
      </c>
      <c r="GF15" s="1">
        <v>7608.2016540969698</v>
      </c>
      <c r="GG15" s="3">
        <v>15</v>
      </c>
      <c r="GH15" s="3">
        <v>2</v>
      </c>
      <c r="GI15" s="1">
        <v>79.898043533073803</v>
      </c>
      <c r="GJ15" s="2">
        <v>-3.3721538716825701</v>
      </c>
      <c r="GK15" s="1">
        <v>79.898043533073803</v>
      </c>
      <c r="GL15" s="1">
        <v>0.89781620025300901</v>
      </c>
    </row>
    <row r="16" spans="1:194" x14ac:dyDescent="0.3">
      <c r="A16" t="s">
        <v>29</v>
      </c>
      <c r="B16">
        <v>10</v>
      </c>
      <c r="D16">
        <v>4</v>
      </c>
      <c r="J16" t="s">
        <v>79</v>
      </c>
      <c r="K16" s="9">
        <v>1952754.2274225</v>
      </c>
      <c r="L16" s="1">
        <v>2041.23351769334</v>
      </c>
      <c r="M16" s="1">
        <v>2721916.6009629802</v>
      </c>
      <c r="N16" s="1">
        <v>1961.8303986144001</v>
      </c>
      <c r="O16" s="1">
        <v>2764483.5563032702</v>
      </c>
      <c r="P16" s="1">
        <v>2077.0205744636201</v>
      </c>
      <c r="Q16">
        <v>13</v>
      </c>
      <c r="R16">
        <v>10</v>
      </c>
      <c r="S16" s="1">
        <v>32.151868590996699</v>
      </c>
      <c r="T16" s="2">
        <v>-0.98062185771197097</v>
      </c>
      <c r="U16" s="1">
        <v>52.073968705815602</v>
      </c>
      <c r="V16" s="1">
        <v>4.6196960843272796</v>
      </c>
      <c r="W16" s="1"/>
      <c r="X16" s="1"/>
      <c r="Y16" s="1">
        <v>1459497.0445355501</v>
      </c>
      <c r="Z16" s="1">
        <v>1672.2467907445</v>
      </c>
      <c r="AA16" s="1">
        <v>1740302.77591645</v>
      </c>
      <c r="AB16" s="1">
        <v>1486.9091300098</v>
      </c>
      <c r="AC16" s="1">
        <v>1740302.77591645</v>
      </c>
      <c r="AD16" s="1">
        <v>1486.9091300098</v>
      </c>
      <c r="AE16">
        <v>7</v>
      </c>
      <c r="AF16">
        <v>15</v>
      </c>
      <c r="AG16" s="1">
        <v>57.288119452688399</v>
      </c>
      <c r="AH16" s="1">
        <v>27.709426454249499</v>
      </c>
      <c r="AI16" s="1">
        <v>64.179874739020903</v>
      </c>
      <c r="AJ16" s="1">
        <v>27.709426454249499</v>
      </c>
      <c r="AK16" s="1">
        <v>1478721.4533170201</v>
      </c>
      <c r="AL16" s="1">
        <v>1810.31277424375</v>
      </c>
      <c r="AM16" s="1">
        <v>2033522.6396936299</v>
      </c>
      <c r="AN16" s="1">
        <v>1734.7135501453199</v>
      </c>
      <c r="AO16" s="1">
        <v>2033522.6396936299</v>
      </c>
      <c r="AP16" s="1">
        <v>1734.7135501453199</v>
      </c>
      <c r="AQ16">
        <v>11</v>
      </c>
      <c r="AR16">
        <v>15</v>
      </c>
      <c r="AS16" s="1">
        <v>50.091686757719799</v>
      </c>
      <c r="AT16" s="1">
        <v>15.661666912514001</v>
      </c>
      <c r="AU16" s="1">
        <v>63.708054166859498</v>
      </c>
      <c r="AV16" s="1">
        <v>15.661666912514001</v>
      </c>
      <c r="AW16" s="9">
        <v>2006460.8929956499</v>
      </c>
      <c r="AX16" s="1">
        <v>2013.9748122902099</v>
      </c>
      <c r="AY16" s="1">
        <v>2721916.6009629602</v>
      </c>
      <c r="AZ16" s="1">
        <v>1961.8303986144001</v>
      </c>
      <c r="BA16" s="1">
        <v>2807764.2407160401</v>
      </c>
      <c r="BB16" s="1">
        <v>2019.9462374273901</v>
      </c>
      <c r="BC16">
        <v>13</v>
      </c>
      <c r="BD16">
        <v>10</v>
      </c>
      <c r="BE16" s="1">
        <v>31.0896399672041</v>
      </c>
      <c r="BF16" s="1">
        <v>1.79421923769851</v>
      </c>
      <c r="BG16" s="1">
        <v>50.755857445924903</v>
      </c>
      <c r="BH16" s="1">
        <v>4.6196960843273196</v>
      </c>
      <c r="BI16" s="1">
        <v>1055114.0124621401</v>
      </c>
      <c r="BJ16" s="1">
        <v>1847.7135634046101</v>
      </c>
      <c r="BK16" s="1">
        <v>1882590.4070174701</v>
      </c>
      <c r="BL16" s="1">
        <v>1612.06388979352</v>
      </c>
      <c r="BM16" s="1">
        <v>1882590.4070174701</v>
      </c>
      <c r="BN16" s="1">
        <v>1612.06388979352</v>
      </c>
      <c r="BO16">
        <v>7</v>
      </c>
      <c r="BP16">
        <v>15</v>
      </c>
      <c r="BQ16" s="1">
        <v>53.795984413286199</v>
      </c>
      <c r="BR16" s="1">
        <v>21.624650199841899</v>
      </c>
      <c r="BS16" s="1">
        <v>74.104561408662903</v>
      </c>
      <c r="BT16" s="1">
        <v>21.624650199841899</v>
      </c>
      <c r="BU16" s="1">
        <v>1272278.7613923899</v>
      </c>
      <c r="BV16" s="1">
        <v>1837.69731480767</v>
      </c>
      <c r="BW16" s="1">
        <v>1643807.3497278001</v>
      </c>
      <c r="BX16" s="1">
        <v>1772.90877296187</v>
      </c>
      <c r="BY16" s="1">
        <v>1643807.3497278001</v>
      </c>
      <c r="BZ16" s="1">
        <v>1772.90877296187</v>
      </c>
      <c r="CA16">
        <v>10</v>
      </c>
      <c r="CB16">
        <v>15</v>
      </c>
      <c r="CC16" s="1">
        <v>59.656386155337898</v>
      </c>
      <c r="CD16" s="1">
        <v>13.804690915536</v>
      </c>
      <c r="CE16" s="1">
        <v>68.774733206492101</v>
      </c>
      <c r="CF16" s="1">
        <v>13.804690915536</v>
      </c>
      <c r="CG16" s="9">
        <v>2006460.8929959</v>
      </c>
      <c r="CH16" s="1">
        <v>2013.9748122902099</v>
      </c>
      <c r="CI16" s="1">
        <v>2721916.6009629401</v>
      </c>
      <c r="CJ16" s="1">
        <v>1961.8303986144001</v>
      </c>
      <c r="CK16" s="1">
        <v>2807764.24071516</v>
      </c>
      <c r="CL16" s="1">
        <v>2019.9462374274001</v>
      </c>
      <c r="CM16">
        <v>13</v>
      </c>
      <c r="CN16">
        <v>10</v>
      </c>
      <c r="CO16" s="1">
        <v>31.0896399672257</v>
      </c>
      <c r="CP16" s="1">
        <v>1.7942192376984301</v>
      </c>
      <c r="CQ16" s="1">
        <v>50.7558574459187</v>
      </c>
      <c r="CR16" s="1">
        <v>4.6196960843273898</v>
      </c>
      <c r="CS16" s="1">
        <v>1055114.0124621501</v>
      </c>
      <c r="CT16" s="1">
        <v>1847.7135634046101</v>
      </c>
      <c r="CU16" s="1">
        <v>1884792.3106116001</v>
      </c>
      <c r="CV16" s="1">
        <v>1612.06388979352</v>
      </c>
      <c r="CW16" s="1">
        <v>1884792.3106116001</v>
      </c>
      <c r="CX16" s="1">
        <v>1612.06388979352</v>
      </c>
      <c r="CY16">
        <v>7</v>
      </c>
      <c r="CZ16">
        <v>15</v>
      </c>
      <c r="DA16" s="1">
        <v>53.741943562124703</v>
      </c>
      <c r="DB16" s="1">
        <v>21.624650199841899</v>
      </c>
      <c r="DC16" s="1">
        <v>74.104561408662804</v>
      </c>
      <c r="DD16" s="1">
        <v>21.624650199841899</v>
      </c>
      <c r="DE16" s="1">
        <v>1272278.7613923801</v>
      </c>
      <c r="DF16" s="1">
        <v>1837.69731480767</v>
      </c>
      <c r="DG16" s="1">
        <v>1643807.3497278001</v>
      </c>
      <c r="DH16" s="1">
        <v>1772.90877296187</v>
      </c>
      <c r="DI16" s="1">
        <v>1643807.3497278001</v>
      </c>
      <c r="DJ16" s="1">
        <v>1772.90877296187</v>
      </c>
      <c r="DK16">
        <v>10</v>
      </c>
      <c r="DL16">
        <v>15</v>
      </c>
      <c r="DM16" s="1">
        <v>59.656386155337799</v>
      </c>
      <c r="DN16" s="1">
        <v>13.804690915536</v>
      </c>
      <c r="DO16" s="1">
        <v>68.774733206492499</v>
      </c>
      <c r="DP16" s="1">
        <v>13.804690915536</v>
      </c>
      <c r="DQ16" s="9">
        <v>3073025.4425117401</v>
      </c>
      <c r="DR16" s="1">
        <v>2058.1208745741901</v>
      </c>
      <c r="DS16" s="1">
        <v>5788332.0700301602</v>
      </c>
      <c r="DT16" s="1">
        <v>2052.1664541384498</v>
      </c>
      <c r="DU16" s="1">
        <v>5788332.0700301602</v>
      </c>
      <c r="DV16" s="1">
        <v>2052.1664541384498</v>
      </c>
      <c r="DW16">
        <v>12</v>
      </c>
      <c r="DX16">
        <v>15</v>
      </c>
      <c r="DY16" s="2">
        <v>-42.061801753495402</v>
      </c>
      <c r="DZ16" s="1">
        <v>0.22773618987774699</v>
      </c>
      <c r="EA16" s="1">
        <v>24.579390761305</v>
      </c>
      <c r="EB16" s="1">
        <v>0.22773618987774699</v>
      </c>
      <c r="EC16" s="1">
        <v>1648920.3816130899</v>
      </c>
      <c r="ED16" s="1">
        <v>1841.5936821349101</v>
      </c>
      <c r="EE16" s="1">
        <v>2264052.6264282502</v>
      </c>
      <c r="EF16" s="1">
        <v>1782.3158343580201</v>
      </c>
      <c r="EG16" s="1">
        <v>2264052.6264282502</v>
      </c>
      <c r="EH16" s="1">
        <v>1782.3158343580201</v>
      </c>
      <c r="EI16">
        <v>4</v>
      </c>
      <c r="EJ16">
        <v>15</v>
      </c>
      <c r="EK16" s="1">
        <v>44.4338383693567</v>
      </c>
      <c r="EL16" s="1">
        <v>13.347338243484501</v>
      </c>
      <c r="EM16" s="1">
        <v>59.530898102258099</v>
      </c>
      <c r="EN16" s="1">
        <v>13.347338243484501</v>
      </c>
      <c r="EO16" s="1">
        <v>1561905.3829368299</v>
      </c>
      <c r="EP16" s="1">
        <v>1858.68750582031</v>
      </c>
      <c r="EQ16" s="1">
        <v>2879774.0488281799</v>
      </c>
      <c r="ER16" s="1">
        <v>1794.7009562169401</v>
      </c>
      <c r="ES16" s="1">
        <v>2879774.0488281799</v>
      </c>
      <c r="ET16" s="1">
        <v>1794.7009562169401</v>
      </c>
      <c r="EU16">
        <v>12</v>
      </c>
      <c r="EV16">
        <v>15</v>
      </c>
      <c r="EW16" s="1">
        <v>29.322318576418802</v>
      </c>
      <c r="EX16" s="1">
        <v>12.745198176855499</v>
      </c>
      <c r="EY16" s="1">
        <v>61.666488690698998</v>
      </c>
      <c r="EZ16" s="1">
        <v>12.745198176855499</v>
      </c>
      <c r="FA16" s="1"/>
      <c r="FB16" s="10" t="s">
        <v>32</v>
      </c>
      <c r="FO16" s="1">
        <v>27731192.143732399</v>
      </c>
      <c r="FP16" s="1">
        <v>18370.430131093901</v>
      </c>
      <c r="FQ16" s="1">
        <v>47494949.158524297</v>
      </c>
      <c r="FR16" s="1">
        <v>17514.000011866301</v>
      </c>
      <c r="FS16" s="1">
        <v>27731192.143732399</v>
      </c>
      <c r="FT16" s="1">
        <v>18370.430131093901</v>
      </c>
      <c r="FU16">
        <v>15</v>
      </c>
      <c r="FV16">
        <v>0</v>
      </c>
      <c r="FW16" s="1">
        <v>41.6123342901708</v>
      </c>
      <c r="FX16" s="2">
        <v>-4.8899744127402602</v>
      </c>
      <c r="FY16" s="1">
        <v>41.6123342901708</v>
      </c>
      <c r="FZ16" s="2">
        <v>0</v>
      </c>
      <c r="GA16" s="1">
        <v>47494949.158524103</v>
      </c>
      <c r="GB16" s="1">
        <v>17514.000011866301</v>
      </c>
      <c r="GC16" s="1">
        <v>47494949.158524103</v>
      </c>
      <c r="GD16" s="1">
        <v>17514.000011866301</v>
      </c>
      <c r="GE16" s="1">
        <v>1703169627.09111</v>
      </c>
      <c r="GF16" s="1">
        <v>18910.019659362199</v>
      </c>
      <c r="GG16">
        <v>0</v>
      </c>
      <c r="GH16">
        <v>0</v>
      </c>
      <c r="GI16" s="2">
        <v>-3486.00157967625</v>
      </c>
      <c r="GJ16" s="2">
        <v>-7.9708784204071703</v>
      </c>
      <c r="GK16" s="2">
        <v>0</v>
      </c>
      <c r="GL16" s="2">
        <v>0</v>
      </c>
    </row>
    <row r="17" spans="1:194" x14ac:dyDescent="0.3">
      <c r="A17" t="s">
        <v>30</v>
      </c>
      <c r="B17">
        <v>4</v>
      </c>
      <c r="D17">
        <v>3</v>
      </c>
      <c r="K17" s="9">
        <v>319187.91202288697</v>
      </c>
      <c r="L17" s="1">
        <v>714.30776059213804</v>
      </c>
      <c r="M17" s="1">
        <v>448080.48506693501</v>
      </c>
      <c r="N17" s="1">
        <v>703.42025231992898</v>
      </c>
      <c r="O17" s="1">
        <v>599532.87491304404</v>
      </c>
      <c r="P17" s="1">
        <v>774.07937598062404</v>
      </c>
      <c r="Q17">
        <v>2</v>
      </c>
      <c r="R17">
        <v>3</v>
      </c>
      <c r="S17" s="1">
        <v>71.536723332584003</v>
      </c>
      <c r="T17" s="2">
        <v>-4.2804711483184796</v>
      </c>
      <c r="U17" s="1">
        <v>84.846312472656294</v>
      </c>
      <c r="V17" s="1">
        <v>5.2384062884174396</v>
      </c>
      <c r="W17" s="1"/>
      <c r="X17" s="1"/>
      <c r="Y17" s="1">
        <v>342040.86593536899</v>
      </c>
      <c r="Z17" s="1">
        <v>706.85042654627</v>
      </c>
      <c r="AA17" s="1">
        <v>480724.02417275001</v>
      </c>
      <c r="AB17" s="1">
        <v>700.01714823705697</v>
      </c>
      <c r="AC17" s="1">
        <v>342040.86593536899</v>
      </c>
      <c r="AD17" s="1">
        <v>706.85042654627</v>
      </c>
      <c r="AE17">
        <v>15</v>
      </c>
      <c r="AF17">
        <v>9</v>
      </c>
      <c r="AG17" s="1">
        <v>83.761351201811905</v>
      </c>
      <c r="AH17" s="1">
        <v>4.7763087367411901</v>
      </c>
      <c r="AI17" s="1">
        <v>83.761351201811905</v>
      </c>
      <c r="AJ17" s="1">
        <v>5.6968570728463899</v>
      </c>
      <c r="AK17" s="1">
        <v>415917.47869296302</v>
      </c>
      <c r="AL17" s="1">
        <v>704.65559912365404</v>
      </c>
      <c r="AM17" s="1">
        <v>457072.95943343901</v>
      </c>
      <c r="AN17" s="1">
        <v>699.52005831770396</v>
      </c>
      <c r="AO17" s="1">
        <v>581801.21722370095</v>
      </c>
      <c r="AP17" s="1">
        <v>708.27653922720594</v>
      </c>
      <c r="AQ17">
        <v>5</v>
      </c>
      <c r="AR17">
        <v>13</v>
      </c>
      <c r="AS17" s="1">
        <v>72.378547191962696</v>
      </c>
      <c r="AT17" s="1">
        <v>4.5841892889259901</v>
      </c>
      <c r="AU17" s="1">
        <v>80.254003137744604</v>
      </c>
      <c r="AV17" s="1">
        <v>5.7638227776587998</v>
      </c>
      <c r="AW17" s="9">
        <v>319188.08328395098</v>
      </c>
      <c r="AX17" s="1">
        <v>714.30776059213599</v>
      </c>
      <c r="AY17" s="1">
        <v>448080.51914570702</v>
      </c>
      <c r="AZ17" s="1">
        <v>703.42025231992795</v>
      </c>
      <c r="BA17" s="1">
        <v>599532.87491304195</v>
      </c>
      <c r="BB17" s="1">
        <v>774.07937598062404</v>
      </c>
      <c r="BC17">
        <v>2</v>
      </c>
      <c r="BD17">
        <v>3</v>
      </c>
      <c r="BE17" s="1">
        <v>71.536723332584103</v>
      </c>
      <c r="BF17" s="2">
        <v>-4.2804711483185001</v>
      </c>
      <c r="BG17" s="1">
        <v>84.846304341907796</v>
      </c>
      <c r="BH17" s="1">
        <v>5.2384062884175098</v>
      </c>
      <c r="BI17" s="1">
        <v>319187.91202289099</v>
      </c>
      <c r="BJ17" s="1">
        <v>714.30776059213702</v>
      </c>
      <c r="BK17" s="1">
        <v>439380.92226104997</v>
      </c>
      <c r="BL17" s="1">
        <v>699.98633653414504</v>
      </c>
      <c r="BM17" s="1">
        <v>591616.45773777505</v>
      </c>
      <c r="BN17" s="1">
        <v>715.23311367184203</v>
      </c>
      <c r="BO17">
        <v>2</v>
      </c>
      <c r="BP17">
        <v>14</v>
      </c>
      <c r="BQ17" s="1">
        <v>71.912561225221694</v>
      </c>
      <c r="BR17" s="1">
        <v>3.6470310553197298</v>
      </c>
      <c r="BS17" s="1">
        <v>84.846312472656095</v>
      </c>
      <c r="BT17" s="1">
        <v>5.70100788605271</v>
      </c>
      <c r="BU17" s="1">
        <v>319187.91202289099</v>
      </c>
      <c r="BV17" s="1">
        <v>714.30776059213702</v>
      </c>
      <c r="BW17" s="1">
        <v>439885.471034349</v>
      </c>
      <c r="BX17" s="1">
        <v>700.64530006342795</v>
      </c>
      <c r="BY17" s="1">
        <v>436701.16019749898</v>
      </c>
      <c r="BZ17" s="1">
        <v>711.07273056441602</v>
      </c>
      <c r="CA17">
        <v>2</v>
      </c>
      <c r="CB17">
        <v>7</v>
      </c>
      <c r="CC17" s="1">
        <v>79.267282139472599</v>
      </c>
      <c r="CD17" s="1">
        <v>4.20749904356747</v>
      </c>
      <c r="CE17" s="1">
        <v>84.846312472656095</v>
      </c>
      <c r="CF17" s="1">
        <v>5.6122353009206396</v>
      </c>
      <c r="CG17" s="9">
        <v>319188.083283949</v>
      </c>
      <c r="CH17" s="1">
        <v>714.30776059213702</v>
      </c>
      <c r="CI17" s="1">
        <v>448080.51914570702</v>
      </c>
      <c r="CJ17" s="1">
        <v>703.42025231992704</v>
      </c>
      <c r="CK17" s="1">
        <v>599532.87491304404</v>
      </c>
      <c r="CL17" s="1">
        <v>774.07937598062404</v>
      </c>
      <c r="CM17">
        <v>2</v>
      </c>
      <c r="CN17">
        <v>3</v>
      </c>
      <c r="CO17" s="1">
        <v>71.536723332584003</v>
      </c>
      <c r="CP17" s="2">
        <v>-4.2804711483184796</v>
      </c>
      <c r="CQ17" s="1">
        <v>84.846304341907896</v>
      </c>
      <c r="CR17" s="1">
        <v>5.2384062884176403</v>
      </c>
      <c r="CS17" s="1">
        <v>319187.91202288697</v>
      </c>
      <c r="CT17" s="1">
        <v>714.30776059213804</v>
      </c>
      <c r="CU17" s="1">
        <v>439380.92226104997</v>
      </c>
      <c r="CV17" s="1">
        <v>699.98633653414504</v>
      </c>
      <c r="CW17" s="1">
        <v>591616.45773777703</v>
      </c>
      <c r="CX17" s="1">
        <v>715.23311367184101</v>
      </c>
      <c r="CY17">
        <v>2</v>
      </c>
      <c r="CZ17">
        <v>14</v>
      </c>
      <c r="DA17" s="1">
        <v>71.912561225221594</v>
      </c>
      <c r="DB17" s="1">
        <v>3.6470310553198599</v>
      </c>
      <c r="DC17" s="1">
        <v>84.846312472656294</v>
      </c>
      <c r="DD17" s="1">
        <v>5.7010078860526701</v>
      </c>
      <c r="DE17" s="1">
        <v>319187.91202288697</v>
      </c>
      <c r="DF17" s="1">
        <v>714.30776059213804</v>
      </c>
      <c r="DG17" s="1">
        <v>439885.471034349</v>
      </c>
      <c r="DH17" s="1">
        <v>700.64530006342795</v>
      </c>
      <c r="DI17" s="1">
        <v>436701.16019749898</v>
      </c>
      <c r="DJ17" s="1">
        <v>711.072730564415</v>
      </c>
      <c r="DK17">
        <v>2</v>
      </c>
      <c r="DL17">
        <v>7</v>
      </c>
      <c r="DM17" s="1">
        <v>79.267282139472599</v>
      </c>
      <c r="DN17" s="1">
        <v>4.2074990435676298</v>
      </c>
      <c r="DO17" s="1">
        <v>84.846312472656294</v>
      </c>
      <c r="DP17" s="1">
        <v>5.6122353009206902</v>
      </c>
      <c r="DQ17" s="9">
        <v>319187.91202289402</v>
      </c>
      <c r="DR17" s="1">
        <v>714.30776059213599</v>
      </c>
      <c r="DS17" s="1">
        <v>329395.38978092099</v>
      </c>
      <c r="DT17" s="1">
        <v>711.98058786861395</v>
      </c>
      <c r="DU17" s="1">
        <v>597122.29962186003</v>
      </c>
      <c r="DV17" s="1">
        <v>780.28925904228697</v>
      </c>
      <c r="DW17">
        <v>2</v>
      </c>
      <c r="DX17">
        <v>7</v>
      </c>
      <c r="DY17" s="1">
        <v>71.651167217668004</v>
      </c>
      <c r="DZ17" s="2">
        <v>-5.1170384972751801</v>
      </c>
      <c r="EA17" s="1">
        <v>84.846312472655995</v>
      </c>
      <c r="EB17" s="1">
        <v>4.0851966152186101</v>
      </c>
      <c r="EC17" s="1">
        <v>344597.58823442401</v>
      </c>
      <c r="ED17" s="1">
        <v>729.302227092674</v>
      </c>
      <c r="EE17" s="1">
        <v>404373.52878684999</v>
      </c>
      <c r="EF17" s="1">
        <v>701.93010688413301</v>
      </c>
      <c r="EG17" s="1">
        <v>404373.52878684999</v>
      </c>
      <c r="EH17" s="1">
        <v>701.93010688413301</v>
      </c>
      <c r="EI17">
        <v>4</v>
      </c>
      <c r="EJ17">
        <v>15</v>
      </c>
      <c r="EK17" s="1">
        <v>80.802060890307601</v>
      </c>
      <c r="EL17" s="1">
        <v>5.4391519392461598</v>
      </c>
      <c r="EM17" s="1">
        <v>83.639968876997202</v>
      </c>
      <c r="EN17" s="1">
        <v>5.4391519392461598</v>
      </c>
      <c r="EO17" s="1">
        <v>448080.51914570603</v>
      </c>
      <c r="EP17" s="1">
        <v>703.42025231992795</v>
      </c>
      <c r="EQ17" s="1">
        <v>448080.51914570603</v>
      </c>
      <c r="ER17" s="1">
        <v>703.42025231992795</v>
      </c>
      <c r="ES17" s="1">
        <v>649983.39013683097</v>
      </c>
      <c r="ET17" s="1">
        <v>747.08271020884604</v>
      </c>
      <c r="EU17">
        <v>2</v>
      </c>
      <c r="EV17">
        <v>2</v>
      </c>
      <c r="EW17" s="1">
        <v>69.141546966256101</v>
      </c>
      <c r="EX17" s="2">
        <v>-0.643602484109151</v>
      </c>
      <c r="EY17" s="1">
        <v>78.727038467117495</v>
      </c>
      <c r="EZ17" s="1">
        <v>5.2384062884175604</v>
      </c>
      <c r="FA17" s="1"/>
      <c r="FB17" s="10" t="s">
        <v>33</v>
      </c>
      <c r="FO17" s="1">
        <v>116514442.684586</v>
      </c>
      <c r="FP17" s="1">
        <v>9594.4066255408306</v>
      </c>
      <c r="FQ17" s="1">
        <v>122361822.939643</v>
      </c>
      <c r="FR17" s="1">
        <v>9554.1050873931508</v>
      </c>
      <c r="FS17" s="1">
        <v>117299261.617144</v>
      </c>
      <c r="FT17" s="1">
        <v>9605.2647048765793</v>
      </c>
      <c r="FU17">
        <v>4</v>
      </c>
      <c r="FV17">
        <v>2</v>
      </c>
      <c r="FW17" s="1">
        <v>37.0135989842274</v>
      </c>
      <c r="FX17" s="1">
        <v>3.8885486794870401</v>
      </c>
      <c r="FY17" s="1">
        <v>37.435024655023597</v>
      </c>
      <c r="FZ17" s="1">
        <v>4.4004580579800896</v>
      </c>
      <c r="GA17" s="1">
        <v>97085515.766517803</v>
      </c>
      <c r="GB17" s="1">
        <v>9898.1726149594397</v>
      </c>
      <c r="GC17" s="1">
        <v>112678551.836106</v>
      </c>
      <c r="GD17" s="1">
        <v>9381.6877750867607</v>
      </c>
      <c r="GE17" s="1">
        <v>99606748.748118803</v>
      </c>
      <c r="GF17" s="1">
        <v>10297.5219697638</v>
      </c>
      <c r="GG17">
        <v>11</v>
      </c>
      <c r="GH17">
        <v>2</v>
      </c>
      <c r="GI17" s="1">
        <v>46.513980275480797</v>
      </c>
      <c r="GJ17" s="2">
        <v>-3.0382620289886</v>
      </c>
      <c r="GK17" s="1">
        <v>47.867811403178997</v>
      </c>
      <c r="GL17" s="1">
        <v>6.1256867349301301</v>
      </c>
    </row>
    <row r="18" spans="1:194" x14ac:dyDescent="0.3">
      <c r="A18" t="s">
        <v>31</v>
      </c>
      <c r="B18">
        <v>65</v>
      </c>
      <c r="D18">
        <v>13</v>
      </c>
      <c r="I18" t="s">
        <v>78</v>
      </c>
      <c r="J18" t="s">
        <v>79</v>
      </c>
      <c r="K18" s="10"/>
      <c r="Y18" s="1">
        <v>3647121.0912403399</v>
      </c>
      <c r="Z18" s="1">
        <v>7228.0935515691399</v>
      </c>
      <c r="AA18" s="1">
        <v>5001418.6500446498</v>
      </c>
      <c r="AB18" s="1">
        <v>7224.2288768635799</v>
      </c>
      <c r="AC18" s="1">
        <v>4504438.13798026</v>
      </c>
      <c r="AD18" s="1">
        <v>7334.6103218896596</v>
      </c>
      <c r="AE18">
        <v>12</v>
      </c>
      <c r="AF18">
        <v>9</v>
      </c>
      <c r="AG18" s="1">
        <v>77.798787177286101</v>
      </c>
      <c r="AH18" s="1">
        <v>0.34511422618168602</v>
      </c>
      <c r="AI18" s="1">
        <v>82.024281595941403</v>
      </c>
      <c r="AJ18" s="1">
        <v>1.84485992675349</v>
      </c>
      <c r="AK18" s="1">
        <v>2774016.9112452702</v>
      </c>
      <c r="AL18" s="1">
        <v>7164.5089051423802</v>
      </c>
      <c r="AM18" s="1">
        <v>3085701.1790418699</v>
      </c>
      <c r="AN18" s="1">
        <v>7103.2896418149403</v>
      </c>
      <c r="AO18" s="1">
        <v>3064911.5863031801</v>
      </c>
      <c r="AP18" s="1">
        <v>7231.1151365929099</v>
      </c>
      <c r="AQ18">
        <v>14</v>
      </c>
      <c r="AR18">
        <v>12</v>
      </c>
      <c r="AS18" s="1">
        <v>84.893841956317999</v>
      </c>
      <c r="AT18" s="1">
        <v>1.75129675207639</v>
      </c>
      <c r="AU18" s="1">
        <v>86.327586719177702</v>
      </c>
      <c r="AV18" s="1">
        <v>3.4880536514937699</v>
      </c>
      <c r="AW18" s="9">
        <v>3600484.2589511001</v>
      </c>
      <c r="AX18" s="1">
        <v>7292.3601161084598</v>
      </c>
      <c r="AY18" s="1">
        <v>6797241.9976045303</v>
      </c>
      <c r="AZ18" s="1">
        <v>7263.0457309586</v>
      </c>
      <c r="BA18" s="1">
        <v>3620396.3988012001</v>
      </c>
      <c r="BB18" s="1">
        <v>7310.8411939407297</v>
      </c>
      <c r="BC18">
        <v>12</v>
      </c>
      <c r="BD18">
        <v>6</v>
      </c>
      <c r="BE18" s="1">
        <v>82.156000706358299</v>
      </c>
      <c r="BF18" s="1">
        <v>0.66806386177784505</v>
      </c>
      <c r="BG18" s="1">
        <v>82.254142503631599</v>
      </c>
      <c r="BH18" s="1">
        <v>1.3174577893292001</v>
      </c>
      <c r="BI18" s="1">
        <v>2954686.35557386</v>
      </c>
      <c r="BJ18" s="1">
        <v>7174.4266778440797</v>
      </c>
      <c r="BK18" s="1">
        <v>3202931.6312985802</v>
      </c>
      <c r="BL18" s="1">
        <v>7147.50230616312</v>
      </c>
      <c r="BM18" s="1">
        <v>2954686.35557386</v>
      </c>
      <c r="BN18" s="1">
        <v>7174.4266778440797</v>
      </c>
      <c r="BO18">
        <v>15</v>
      </c>
      <c r="BP18">
        <v>12</v>
      </c>
      <c r="BQ18" s="1">
        <v>85.437113665439895</v>
      </c>
      <c r="BR18" s="1">
        <v>2.5215192497117802</v>
      </c>
      <c r="BS18" s="1">
        <v>85.437113665439895</v>
      </c>
      <c r="BT18" s="1">
        <v>2.88733898200076</v>
      </c>
      <c r="BU18" s="1">
        <v>2898771.78873289</v>
      </c>
      <c r="BV18" s="1">
        <v>7197.9066407768696</v>
      </c>
      <c r="BW18" s="1">
        <v>3072539.9655786902</v>
      </c>
      <c r="BX18" s="1">
        <v>7143.4587760950199</v>
      </c>
      <c r="BY18" s="1">
        <v>2898771.78873289</v>
      </c>
      <c r="BZ18" s="1">
        <v>7197.9066407768696</v>
      </c>
      <c r="CA18">
        <v>15</v>
      </c>
      <c r="CB18">
        <v>14</v>
      </c>
      <c r="CC18" s="1">
        <v>85.712702131814694</v>
      </c>
      <c r="CD18" s="1">
        <v>2.2024984808704402</v>
      </c>
      <c r="CE18" s="1">
        <v>85.712702131814694</v>
      </c>
      <c r="CF18" s="1">
        <v>2.9422781688662401</v>
      </c>
      <c r="CG18" s="9">
        <v>3600484.2589511299</v>
      </c>
      <c r="CH18" s="1">
        <v>7292.3601161084598</v>
      </c>
      <c r="CI18" s="1">
        <v>6797241.9976056404</v>
      </c>
      <c r="CJ18" s="1">
        <v>7263.0457309586</v>
      </c>
      <c r="CK18" s="1">
        <v>3620396.3988013398</v>
      </c>
      <c r="CL18" s="1">
        <v>7310.8411939407297</v>
      </c>
      <c r="CM18">
        <v>12</v>
      </c>
      <c r="CN18">
        <v>6</v>
      </c>
      <c r="CO18" s="1">
        <v>82.156000706357602</v>
      </c>
      <c r="CP18" s="1">
        <v>0.66806386177784505</v>
      </c>
      <c r="CQ18" s="1">
        <v>82.254142503631499</v>
      </c>
      <c r="CR18" s="1">
        <v>1.3174577893291901</v>
      </c>
      <c r="CS18" s="1">
        <v>2954686.3555738502</v>
      </c>
      <c r="CT18" s="1">
        <v>7174.4266778440797</v>
      </c>
      <c r="CU18" s="1">
        <v>3202931.6312984498</v>
      </c>
      <c r="CV18" s="1">
        <v>7147.50230616312</v>
      </c>
      <c r="CW18" s="1">
        <v>2954686.3555738502</v>
      </c>
      <c r="CX18" s="1">
        <v>7174.4266778440797</v>
      </c>
      <c r="CY18">
        <v>15</v>
      </c>
      <c r="CZ18">
        <v>12</v>
      </c>
      <c r="DA18" s="1">
        <v>85.437113665439895</v>
      </c>
      <c r="DB18" s="1">
        <v>2.5215192497117802</v>
      </c>
      <c r="DC18" s="1">
        <v>85.437113665439895</v>
      </c>
      <c r="DD18" s="1">
        <v>2.88733898200076</v>
      </c>
      <c r="DE18" s="1">
        <v>2898771.78873289</v>
      </c>
      <c r="DF18" s="1">
        <v>7197.9066407768696</v>
      </c>
      <c r="DG18" s="1">
        <v>3072539.9655786599</v>
      </c>
      <c r="DH18" s="1">
        <v>7143.4587760950199</v>
      </c>
      <c r="DI18" s="1">
        <v>2898771.78873289</v>
      </c>
      <c r="DJ18" s="1">
        <v>7197.9066407768696</v>
      </c>
      <c r="DK18">
        <v>15</v>
      </c>
      <c r="DL18">
        <v>14</v>
      </c>
      <c r="DM18" s="1">
        <v>85.712702131814694</v>
      </c>
      <c r="DN18" s="1">
        <v>2.2024984808704402</v>
      </c>
      <c r="DO18" s="1">
        <v>85.712702131814694</v>
      </c>
      <c r="DP18" s="1">
        <v>2.9422781688662498</v>
      </c>
      <c r="DQ18" s="9">
        <v>6048259.97786636</v>
      </c>
      <c r="DR18" s="1">
        <v>7731.8038771941901</v>
      </c>
      <c r="DS18" s="1">
        <v>20289153.452787101</v>
      </c>
      <c r="DT18" s="1">
        <v>7360.0107660919502</v>
      </c>
      <c r="DU18" s="1">
        <v>40553864.109394997</v>
      </c>
      <c r="DV18" s="1">
        <v>7940.4409476272003</v>
      </c>
      <c r="DW18">
        <v>13</v>
      </c>
      <c r="DX18">
        <v>0</v>
      </c>
      <c r="DY18" s="2">
        <v>-99.879527767207406</v>
      </c>
      <c r="DZ18" s="2">
        <v>-7.88626810451595</v>
      </c>
      <c r="EA18" s="1">
        <v>70.189687845080996</v>
      </c>
      <c r="EB18" s="2">
        <v>0</v>
      </c>
      <c r="EC18" s="1">
        <v>3688373.6483906098</v>
      </c>
      <c r="ED18" s="1">
        <v>7357.6045479632603</v>
      </c>
      <c r="EE18" s="1">
        <v>4504084.7628415003</v>
      </c>
      <c r="EF18" s="1">
        <v>7160.8053427499499</v>
      </c>
      <c r="EG18" s="1">
        <v>3688373.6483906098</v>
      </c>
      <c r="EH18" s="1">
        <v>7357.6045479632603</v>
      </c>
      <c r="EI18">
        <v>15</v>
      </c>
      <c r="EJ18">
        <v>11</v>
      </c>
      <c r="EK18" s="1">
        <v>81.820958390533804</v>
      </c>
      <c r="EL18" s="2">
        <v>3.2693133273298203E-2</v>
      </c>
      <c r="EM18" s="1">
        <v>81.820958390533804</v>
      </c>
      <c r="EN18" s="1">
        <v>2.7065914666829798</v>
      </c>
      <c r="EO18" s="1">
        <v>2887955.50054821</v>
      </c>
      <c r="EP18" s="1">
        <v>7208.3133116214503</v>
      </c>
      <c r="EQ18" s="1">
        <v>3086369.6963362899</v>
      </c>
      <c r="ER18" s="1">
        <v>7144.3793038235299</v>
      </c>
      <c r="ES18" s="1">
        <v>3321924.8370233001</v>
      </c>
      <c r="ET18" s="1">
        <v>7325.5735437389703</v>
      </c>
      <c r="EU18">
        <v>12</v>
      </c>
      <c r="EV18">
        <v>10</v>
      </c>
      <c r="EW18" s="1">
        <v>83.627089987990701</v>
      </c>
      <c r="EX18" s="1">
        <v>0.46789635840793697</v>
      </c>
      <c r="EY18" s="1">
        <v>85.766012824199393</v>
      </c>
      <c r="EZ18" s="1">
        <v>2.9297710169372202</v>
      </c>
      <c r="FA18" s="1"/>
      <c r="FB18" s="10" t="s">
        <v>34</v>
      </c>
      <c r="FC18" s="1">
        <v>308136861.16489601</v>
      </c>
      <c r="FD18" s="1">
        <v>31191.993678077299</v>
      </c>
      <c r="FE18" s="1">
        <v>395343237.359424</v>
      </c>
      <c r="FF18" s="1">
        <v>29209.869150406801</v>
      </c>
      <c r="FG18" s="1">
        <v>2204603571.5490098</v>
      </c>
      <c r="FH18" s="1">
        <v>33125.346879507801</v>
      </c>
      <c r="FI18">
        <v>4</v>
      </c>
      <c r="FJ18">
        <v>0</v>
      </c>
      <c r="FK18" s="2">
        <v>-457.642919675065</v>
      </c>
      <c r="FL18" s="2">
        <v>-13.4046397432987</v>
      </c>
      <c r="FM18" s="1">
        <v>22.058395832693801</v>
      </c>
      <c r="FN18" s="2">
        <v>0</v>
      </c>
      <c r="FO18" s="1">
        <v>58393493.155585602</v>
      </c>
      <c r="FP18" s="1">
        <v>29399.386362179401</v>
      </c>
      <c r="FQ18" s="1">
        <v>395343237.36015397</v>
      </c>
      <c r="FR18" s="1">
        <v>29209.869150406801</v>
      </c>
      <c r="FS18" s="1">
        <v>58393493.155585602</v>
      </c>
      <c r="FT18" s="1">
        <v>29399.386362179401</v>
      </c>
      <c r="FU18">
        <v>15</v>
      </c>
      <c r="FV18">
        <v>0</v>
      </c>
      <c r="FW18" s="1">
        <v>85.229671931281899</v>
      </c>
      <c r="FX18" s="2">
        <v>-0.64881225861290703</v>
      </c>
      <c r="FY18" s="1">
        <v>85.229671931281899</v>
      </c>
      <c r="FZ18" s="2">
        <v>0</v>
      </c>
      <c r="GA18" s="1">
        <v>395343237.35969901</v>
      </c>
      <c r="GB18" s="1">
        <v>29209.869150406801</v>
      </c>
      <c r="GC18" s="1">
        <v>620757323.68350196</v>
      </c>
      <c r="GD18" s="1">
        <v>28803.975000791201</v>
      </c>
      <c r="GE18" s="1">
        <v>534624451.16467899</v>
      </c>
      <c r="GF18" s="1">
        <v>29703.027455442199</v>
      </c>
      <c r="GG18" s="3">
        <v>0</v>
      </c>
      <c r="GH18" s="3">
        <v>1</v>
      </c>
      <c r="GI18" s="2">
        <v>-35.230453095687203</v>
      </c>
      <c r="GJ18" s="2">
        <v>-1.6883276761564501</v>
      </c>
      <c r="GK18" s="2">
        <v>0</v>
      </c>
      <c r="GL18" s="1">
        <v>1.3895788013483701</v>
      </c>
    </row>
    <row r="19" spans="1:194" x14ac:dyDescent="0.3">
      <c r="A19" t="s">
        <v>32</v>
      </c>
      <c r="B19">
        <v>72</v>
      </c>
      <c r="D19">
        <v>8</v>
      </c>
      <c r="K19" s="9">
        <v>18450994.280250601</v>
      </c>
      <c r="L19" s="1">
        <v>16972.273861142701</v>
      </c>
      <c r="M19" s="1">
        <v>22647401.555348799</v>
      </c>
      <c r="N19" s="1">
        <v>16850.532117822298</v>
      </c>
      <c r="O19" s="1">
        <v>18450994.280250601</v>
      </c>
      <c r="P19" s="1">
        <v>16972.273861142701</v>
      </c>
      <c r="Q19">
        <v>15</v>
      </c>
      <c r="R19">
        <v>13</v>
      </c>
      <c r="S19" s="1">
        <v>61.1516706362466</v>
      </c>
      <c r="T19" s="1">
        <v>3.0931035192220699</v>
      </c>
      <c r="U19" s="1">
        <v>61.1516706362466</v>
      </c>
      <c r="V19" s="1">
        <v>3.78821453462646</v>
      </c>
      <c r="W19" s="1"/>
      <c r="X19" s="1"/>
      <c r="Y19" s="1">
        <v>16753736.7206467</v>
      </c>
      <c r="Z19" s="1">
        <v>16811.868875862299</v>
      </c>
      <c r="AA19" s="1">
        <v>18246919.723878998</v>
      </c>
      <c r="AB19" s="1">
        <v>16754.242718471702</v>
      </c>
      <c r="AC19" s="1">
        <v>18246919.723878998</v>
      </c>
      <c r="AD19" s="1">
        <v>16754.242718471702</v>
      </c>
      <c r="AE19">
        <v>11</v>
      </c>
      <c r="AF19">
        <v>15</v>
      </c>
      <c r="AG19" s="1">
        <v>61.581346970229902</v>
      </c>
      <c r="AH19" s="1">
        <v>4.3379998451515096</v>
      </c>
      <c r="AI19" s="1">
        <v>64.725224434438999</v>
      </c>
      <c r="AJ19" s="1">
        <v>4.3379998451515096</v>
      </c>
      <c r="AK19" s="1">
        <v>16640966.586805601</v>
      </c>
      <c r="AL19" s="1">
        <v>16783.6781778736</v>
      </c>
      <c r="AM19" s="1">
        <v>17874752.6614867</v>
      </c>
      <c r="AN19" s="1">
        <v>16738.166285255698</v>
      </c>
      <c r="AO19" s="1">
        <v>17874752.6614867</v>
      </c>
      <c r="AP19" s="1">
        <v>16738.166285255698</v>
      </c>
      <c r="AQ19">
        <v>11</v>
      </c>
      <c r="AR19">
        <v>15</v>
      </c>
      <c r="AS19" s="1">
        <v>62.3649398974486</v>
      </c>
      <c r="AT19" s="1">
        <v>4.4297917442330901</v>
      </c>
      <c r="AU19" s="1">
        <v>64.962660489933299</v>
      </c>
      <c r="AV19" s="1">
        <v>4.4297917442330901</v>
      </c>
      <c r="AW19" s="9">
        <v>19346818.6524412</v>
      </c>
      <c r="AX19" s="1">
        <v>16994.872752061801</v>
      </c>
      <c r="AY19" s="1">
        <v>23265467.7905594</v>
      </c>
      <c r="AZ19" s="1">
        <v>16943.6397642968</v>
      </c>
      <c r="BA19" s="1">
        <v>19346818.6524412</v>
      </c>
      <c r="BB19" s="1">
        <v>16994.872752061801</v>
      </c>
      <c r="BC19">
        <v>15</v>
      </c>
      <c r="BD19">
        <v>9</v>
      </c>
      <c r="BE19" s="1">
        <v>59.265524028950402</v>
      </c>
      <c r="BF19" s="1">
        <v>2.96407022640624</v>
      </c>
      <c r="BG19" s="1">
        <v>59.265524028950402</v>
      </c>
      <c r="BH19" s="1">
        <v>3.2565961355659798</v>
      </c>
      <c r="BU19" s="1">
        <v>18802949.377318401</v>
      </c>
      <c r="BV19" s="1">
        <v>16783.190612504299</v>
      </c>
      <c r="BW19" s="1">
        <v>19249031.886653598</v>
      </c>
      <c r="BX19" s="1">
        <v>16722.587463120999</v>
      </c>
      <c r="BY19" s="1">
        <v>19249031.886653598</v>
      </c>
      <c r="BZ19" s="1">
        <v>16722.587463120999</v>
      </c>
      <c r="CA19">
        <v>13</v>
      </c>
      <c r="CB19">
        <v>15</v>
      </c>
      <c r="CC19" s="1">
        <v>59.471412797167098</v>
      </c>
      <c r="CD19" s="1">
        <v>4.5187424243981598</v>
      </c>
      <c r="CE19" s="1">
        <v>60.4106337401061</v>
      </c>
      <c r="CF19" s="1">
        <v>4.5187424243981598</v>
      </c>
      <c r="CG19" s="9">
        <v>19346818.6507264</v>
      </c>
      <c r="CH19" s="1">
        <v>16994.872752061801</v>
      </c>
      <c r="CI19" s="1">
        <v>23265467.786460299</v>
      </c>
      <c r="CJ19" s="1">
        <v>16943.6397642968</v>
      </c>
      <c r="CK19" s="1">
        <v>19346818.6507264</v>
      </c>
      <c r="CL19" s="1">
        <v>16994.872752061801</v>
      </c>
      <c r="CM19">
        <v>15</v>
      </c>
      <c r="CN19">
        <v>9</v>
      </c>
      <c r="CO19" s="1">
        <v>59.265524032560897</v>
      </c>
      <c r="CP19" s="1">
        <v>2.9640702264062599</v>
      </c>
      <c r="CQ19" s="1">
        <v>59.265524032560897</v>
      </c>
      <c r="CR19" s="1">
        <v>3.2565961355659501</v>
      </c>
      <c r="CS19" s="1">
        <v>17836091.6054396</v>
      </c>
      <c r="CT19" s="1">
        <v>16017.7370344097</v>
      </c>
      <c r="CU19" s="1">
        <v>17836091.6054396</v>
      </c>
      <c r="CV19" s="1">
        <v>16017.7370344097</v>
      </c>
      <c r="CW19" s="1">
        <v>17836091.6054396</v>
      </c>
      <c r="CX19" s="1">
        <v>16017.7370344097</v>
      </c>
      <c r="CY19">
        <v>15</v>
      </c>
      <c r="CZ19">
        <v>15</v>
      </c>
      <c r="DA19" s="1">
        <v>62.446340249974803</v>
      </c>
      <c r="DB19" s="1">
        <v>8.54323955945436</v>
      </c>
      <c r="DC19" s="1">
        <v>62.446340249974803</v>
      </c>
      <c r="DD19" s="1">
        <v>8.54323955945436</v>
      </c>
      <c r="DE19" s="1">
        <v>18802949.371982101</v>
      </c>
      <c r="DF19" s="1">
        <v>16783.190612504299</v>
      </c>
      <c r="DG19" s="1">
        <v>19249031.891910501</v>
      </c>
      <c r="DH19" s="1">
        <v>16722.587463120999</v>
      </c>
      <c r="DI19" s="1">
        <v>19249031.891910501</v>
      </c>
      <c r="DJ19" s="1">
        <v>16722.587463120999</v>
      </c>
      <c r="DK19">
        <v>13</v>
      </c>
      <c r="DL19">
        <v>15</v>
      </c>
      <c r="DM19" s="1">
        <v>59.471412786098597</v>
      </c>
      <c r="DN19" s="1">
        <v>4.5187424243980701</v>
      </c>
      <c r="DO19" s="1">
        <v>60.410633751341699</v>
      </c>
      <c r="DP19" s="1">
        <v>4.5187424243980701</v>
      </c>
      <c r="DQ19" s="9">
        <v>24058193.9026062</v>
      </c>
      <c r="DR19" s="1">
        <v>17077.286282584799</v>
      </c>
      <c r="DS19" s="1">
        <v>25330051.465112198</v>
      </c>
      <c r="DT19" s="1">
        <v>17008.899219315299</v>
      </c>
      <c r="DU19" s="1">
        <v>25330051.465112198</v>
      </c>
      <c r="DV19" s="1">
        <v>17008.899219315299</v>
      </c>
      <c r="DW19">
        <v>10</v>
      </c>
      <c r="DX19">
        <v>15</v>
      </c>
      <c r="DY19" s="1">
        <v>46.667904874331001</v>
      </c>
      <c r="DZ19" s="1">
        <v>2.8839830547490499</v>
      </c>
      <c r="EA19" s="1">
        <v>49.345784491089503</v>
      </c>
      <c r="EB19" s="1">
        <v>2.8839830547490499</v>
      </c>
      <c r="EC19" s="1">
        <v>18644300.592492599</v>
      </c>
      <c r="ED19" s="1">
        <v>17768.0522905707</v>
      </c>
      <c r="EE19" s="1">
        <v>23154138.749763999</v>
      </c>
      <c r="EF19" s="1">
        <v>17146.8617747403</v>
      </c>
      <c r="EG19" s="1">
        <v>20451270.370243602</v>
      </c>
      <c r="EH19" s="1">
        <v>17541.4740172237</v>
      </c>
      <c r="EI19">
        <v>13</v>
      </c>
      <c r="EJ19">
        <v>6</v>
      </c>
      <c r="EK19" s="1">
        <v>56.940115248921899</v>
      </c>
      <c r="EL19" s="2">
        <v>-0.15686882116485701</v>
      </c>
      <c r="EM19" s="1">
        <v>60.744666700740098</v>
      </c>
      <c r="EN19" s="1">
        <v>2.0962557775339201</v>
      </c>
      <c r="EO19" s="1">
        <v>17889261.916870199</v>
      </c>
      <c r="EP19" s="1">
        <v>16992.850687535101</v>
      </c>
      <c r="EQ19" s="1">
        <v>18639346.559193</v>
      </c>
      <c r="ER19" s="1">
        <v>16927.619023557101</v>
      </c>
      <c r="ES19" s="1">
        <v>20269124.222789198</v>
      </c>
      <c r="ET19" s="1">
        <v>16980.224424328801</v>
      </c>
      <c r="EU19">
        <v>12</v>
      </c>
      <c r="EV19">
        <v>9</v>
      </c>
      <c r="EW19" s="1">
        <v>57.3236216020846</v>
      </c>
      <c r="EX19" s="1">
        <v>3.0477080459964698</v>
      </c>
      <c r="EY19" s="1">
        <v>62.334390848253797</v>
      </c>
      <c r="EZ19" s="1">
        <v>3.3480700463167499</v>
      </c>
      <c r="FA19" s="1"/>
      <c r="FB19" s="10" t="s">
        <v>35</v>
      </c>
      <c r="FO19" s="1">
        <v>8656017.3605160899</v>
      </c>
      <c r="FP19" s="1">
        <v>10513.532708136299</v>
      </c>
      <c r="FQ19" s="1">
        <v>9525698.0223575495</v>
      </c>
      <c r="FR19" s="1">
        <v>7829.0807921062697</v>
      </c>
      <c r="FS19" s="1">
        <v>10042805.8542083</v>
      </c>
      <c r="FT19" s="1">
        <v>8113.78408634672</v>
      </c>
      <c r="FU19">
        <v>0</v>
      </c>
      <c r="FV19">
        <v>4</v>
      </c>
      <c r="FW19" s="2">
        <v>-16.0210918709341</v>
      </c>
      <c r="FX19" s="1">
        <v>22.8253308227448</v>
      </c>
      <c r="FY19" s="2">
        <v>0</v>
      </c>
      <c r="FZ19" s="1">
        <v>25.5333006569007</v>
      </c>
      <c r="GA19" s="1">
        <v>8656017.3605160899</v>
      </c>
      <c r="GB19" s="1">
        <v>10513.532708136299</v>
      </c>
      <c r="GC19" s="1">
        <v>9663443.7832003105</v>
      </c>
      <c r="GD19" s="1">
        <v>7832.9510590374002</v>
      </c>
      <c r="GE19" s="1">
        <v>10200989.597174199</v>
      </c>
      <c r="GF19" s="1">
        <v>8293.6669895178493</v>
      </c>
      <c r="GG19">
        <v>0</v>
      </c>
      <c r="GH19">
        <v>1</v>
      </c>
      <c r="GI19" s="2">
        <v>-17.848534404579699</v>
      </c>
      <c r="GJ19" s="1">
        <v>21.114365458724802</v>
      </c>
      <c r="GK19" s="2">
        <v>0</v>
      </c>
      <c r="GL19" s="1">
        <v>25.496488416538</v>
      </c>
    </row>
    <row r="20" spans="1:194" x14ac:dyDescent="0.3">
      <c r="A20" t="s">
        <v>33</v>
      </c>
      <c r="B20">
        <v>17</v>
      </c>
      <c r="D20">
        <v>8</v>
      </c>
      <c r="K20" s="9">
        <v>87362108.454693094</v>
      </c>
      <c r="L20" s="1">
        <v>10018.080744396701</v>
      </c>
      <c r="M20" s="1">
        <v>3374066287.0289102</v>
      </c>
      <c r="N20" s="1">
        <v>9919.7909853180809</v>
      </c>
      <c r="O20" s="1">
        <v>115297165.67639001</v>
      </c>
      <c r="P20" s="1">
        <v>10465.785968173799</v>
      </c>
      <c r="Q20">
        <v>9</v>
      </c>
      <c r="R20">
        <v>3</v>
      </c>
      <c r="S20" s="1">
        <v>38.088668136908602</v>
      </c>
      <c r="T20" s="2">
        <v>-4.7219321400236698</v>
      </c>
      <c r="U20" s="1">
        <v>53.089007374398498</v>
      </c>
      <c r="V20" s="1">
        <v>0.74136031763712895</v>
      </c>
      <c r="W20" s="1"/>
      <c r="X20" s="1"/>
      <c r="Y20" s="1">
        <v>68165405.830237404</v>
      </c>
      <c r="Z20" s="1">
        <v>9665.6774511445892</v>
      </c>
      <c r="AA20" s="1">
        <v>109290984.24156301</v>
      </c>
      <c r="AB20" s="1">
        <v>9349.9636084992708</v>
      </c>
      <c r="AC20" s="1">
        <v>100882184.67449901</v>
      </c>
      <c r="AD20" s="1">
        <v>10114.307329367701</v>
      </c>
      <c r="AE20">
        <v>5</v>
      </c>
      <c r="AF20">
        <v>3</v>
      </c>
      <c r="AG20" s="1">
        <v>45.829107091956899</v>
      </c>
      <c r="AH20" s="2">
        <v>-1.2049939689537701</v>
      </c>
      <c r="AI20" s="1">
        <v>63.397096214982398</v>
      </c>
      <c r="AJ20" s="1">
        <v>6.4431226189312198</v>
      </c>
      <c r="AK20" s="1">
        <v>85364888.924644604</v>
      </c>
      <c r="AL20" s="1">
        <v>9887.1958743907198</v>
      </c>
      <c r="AM20" s="1">
        <v>109305011.584755</v>
      </c>
      <c r="AN20" s="1">
        <v>9249.1404517451392</v>
      </c>
      <c r="AO20" s="1">
        <v>85364888.924644604</v>
      </c>
      <c r="AP20" s="1">
        <v>9887.1958743907198</v>
      </c>
      <c r="AQ20">
        <v>15</v>
      </c>
      <c r="AR20">
        <v>2</v>
      </c>
      <c r="AS20" s="1">
        <v>54.161458031818199</v>
      </c>
      <c r="AT20" s="1">
        <v>1.06751097703445</v>
      </c>
      <c r="AU20" s="1">
        <v>54.161458031818199</v>
      </c>
      <c r="AV20" s="1">
        <v>7.4519714346682298</v>
      </c>
      <c r="AW20" s="9">
        <v>71317457.901285201</v>
      </c>
      <c r="AX20" s="1">
        <v>9628.7217980331807</v>
      </c>
      <c r="AY20" s="1">
        <v>110180628.34624501</v>
      </c>
      <c r="AZ20" s="1">
        <v>9235.6461117391791</v>
      </c>
      <c r="BA20" s="1">
        <v>84421097.280162007</v>
      </c>
      <c r="BB20" s="1">
        <v>10291.6883002382</v>
      </c>
      <c r="BC20">
        <v>8</v>
      </c>
      <c r="BD20">
        <v>2</v>
      </c>
      <c r="BE20" s="1">
        <v>54.668247573160301</v>
      </c>
      <c r="BF20" s="2">
        <v>-2.9798896194967499</v>
      </c>
      <c r="BG20" s="1">
        <v>61.7045329964891</v>
      </c>
      <c r="BH20" s="1">
        <v>7.58699744825919</v>
      </c>
      <c r="BI20" s="1">
        <v>57192102.794088401</v>
      </c>
      <c r="BJ20" s="1">
        <v>9553.4546121539606</v>
      </c>
      <c r="BK20" s="1">
        <v>107955358.118398</v>
      </c>
      <c r="BL20" s="1">
        <v>9368.7245994139394</v>
      </c>
      <c r="BM20" s="1">
        <v>66689610.540209897</v>
      </c>
      <c r="BN20" s="1">
        <v>9500.4829311179401</v>
      </c>
      <c r="BO20">
        <v>14</v>
      </c>
      <c r="BP20">
        <v>6</v>
      </c>
      <c r="BQ20" s="1">
        <v>64.189556735818798</v>
      </c>
      <c r="BR20" s="1">
        <v>4.9370079002690597</v>
      </c>
      <c r="BS20" s="1">
        <v>69.289451000286604</v>
      </c>
      <c r="BT20" s="1">
        <v>6.2553978533550998</v>
      </c>
      <c r="BU20" s="1">
        <v>60786300.195031397</v>
      </c>
      <c r="BV20" s="1">
        <v>9470.6693091551697</v>
      </c>
      <c r="BW20" s="1">
        <v>110180628.34624401</v>
      </c>
      <c r="BX20" s="1">
        <v>9235.6461117391791</v>
      </c>
      <c r="BY20" s="1">
        <v>73958063.403908804</v>
      </c>
      <c r="BZ20" s="1">
        <v>9617.7315965570706</v>
      </c>
      <c r="CA20">
        <v>14</v>
      </c>
      <c r="CB20">
        <v>2</v>
      </c>
      <c r="CC20" s="1">
        <v>60.286602185845503</v>
      </c>
      <c r="CD20" s="1">
        <v>3.7638034392794402</v>
      </c>
      <c r="CE20" s="1">
        <v>67.3594681879094</v>
      </c>
      <c r="CF20" s="1">
        <v>7.58699744825919</v>
      </c>
      <c r="CG20" s="9">
        <v>71317457.901285097</v>
      </c>
      <c r="CH20" s="1">
        <v>9628.7217980331807</v>
      </c>
      <c r="CI20" s="1">
        <v>110180628.34624501</v>
      </c>
      <c r="CJ20" s="1">
        <v>9235.64611173917</v>
      </c>
      <c r="CK20" s="1">
        <v>84421097.280161902</v>
      </c>
      <c r="CL20" s="1">
        <v>10291.6883002382</v>
      </c>
      <c r="CM20">
        <v>8</v>
      </c>
      <c r="CN20">
        <v>2</v>
      </c>
      <c r="CO20" s="1">
        <v>54.668247573160301</v>
      </c>
      <c r="CP20" s="2">
        <v>-2.9798896194967299</v>
      </c>
      <c r="CQ20" s="1">
        <v>61.7045329964891</v>
      </c>
      <c r="CR20" s="1">
        <v>7.5869974482592903</v>
      </c>
      <c r="CS20" s="1">
        <v>56228913.336128697</v>
      </c>
      <c r="CT20" s="1">
        <v>9541.6045935381899</v>
      </c>
      <c r="CU20" s="1">
        <v>109811020.36761799</v>
      </c>
      <c r="CV20" s="1">
        <v>9235.6461117391791</v>
      </c>
      <c r="CW20" s="1">
        <v>81415694.378726199</v>
      </c>
      <c r="CX20" s="1">
        <v>9600.2008212542496</v>
      </c>
      <c r="CY20">
        <v>13</v>
      </c>
      <c r="CZ20">
        <v>2</v>
      </c>
      <c r="DA20" s="1">
        <v>56.282064316369102</v>
      </c>
      <c r="DB20" s="1">
        <v>3.9392185172493202</v>
      </c>
      <c r="DC20" s="1">
        <v>69.806656621334994</v>
      </c>
      <c r="DD20" s="1">
        <v>7.5869974482592299</v>
      </c>
      <c r="DE20" s="1">
        <v>60786300.195031501</v>
      </c>
      <c r="DF20" s="1">
        <v>9470.6693091551697</v>
      </c>
      <c r="DG20" s="1">
        <v>110180628.346246</v>
      </c>
      <c r="DH20" s="1">
        <v>9235.6461117391791</v>
      </c>
      <c r="DI20" s="1">
        <v>73958063.4039087</v>
      </c>
      <c r="DJ20" s="1">
        <v>9617.7315965570597</v>
      </c>
      <c r="DK20">
        <v>14</v>
      </c>
      <c r="DL20">
        <v>2</v>
      </c>
      <c r="DM20" s="1">
        <v>60.286602185845503</v>
      </c>
      <c r="DN20" s="1">
        <v>3.7638034392795001</v>
      </c>
      <c r="DO20" s="1">
        <v>67.3594681879093</v>
      </c>
      <c r="DP20" s="1">
        <v>7.58699744825919</v>
      </c>
      <c r="DQ20" s="10"/>
      <c r="EC20" s="9">
        <v>72690292.923502803</v>
      </c>
      <c r="ED20" s="1">
        <v>9254.8004905365106</v>
      </c>
      <c r="EE20" s="1">
        <v>72690292.923502803</v>
      </c>
      <c r="EF20" s="1">
        <v>9254.8004905365106</v>
      </c>
      <c r="EG20" s="1">
        <v>137100120.73930699</v>
      </c>
      <c r="EH20" s="1">
        <v>9826.1416587623407</v>
      </c>
      <c r="EI20">
        <v>5</v>
      </c>
      <c r="EJ20">
        <v>5</v>
      </c>
      <c r="EK20" s="1">
        <v>26.3810951139513</v>
      </c>
      <c r="EL20" s="1">
        <v>1.6784269125734801</v>
      </c>
      <c r="EM20" s="1">
        <v>60.967359240697597</v>
      </c>
      <c r="EN20" s="1">
        <v>7.3953363955013103</v>
      </c>
      <c r="EO20" s="1">
        <v>96481848.763832003</v>
      </c>
      <c r="EP20" s="1">
        <v>10517.468503121099</v>
      </c>
      <c r="EQ20" s="1">
        <v>186229503.07603499</v>
      </c>
      <c r="ER20" s="1">
        <v>9993.8816581230203</v>
      </c>
      <c r="ES20" s="1">
        <v>142070871.70663899</v>
      </c>
      <c r="ET20" s="1">
        <v>10989.2290368667</v>
      </c>
      <c r="EU20">
        <v>13</v>
      </c>
      <c r="EV20">
        <v>0</v>
      </c>
      <c r="EW20" s="1">
        <v>23.711941792254901</v>
      </c>
      <c r="EX20" s="2">
        <v>-9.9595673912615297</v>
      </c>
      <c r="EY20" s="1">
        <v>48.1919635878318</v>
      </c>
      <c r="EZ20" s="2">
        <v>0</v>
      </c>
      <c r="FA20" s="2"/>
      <c r="FB20" s="10" t="s">
        <v>36</v>
      </c>
      <c r="FO20" s="1">
        <v>105182.80178532899</v>
      </c>
      <c r="FP20" s="1">
        <v>650.78043848941797</v>
      </c>
      <c r="FQ20" s="1">
        <v>117742.356088074</v>
      </c>
      <c r="FR20" s="1">
        <v>648.20132875455397</v>
      </c>
      <c r="FS20" s="1">
        <v>118061.939272663</v>
      </c>
      <c r="FT20" s="1">
        <v>648.30204718351501</v>
      </c>
      <c r="FU20">
        <v>14</v>
      </c>
      <c r="FV20">
        <v>13</v>
      </c>
      <c r="FW20" s="1">
        <v>33.526872043444897</v>
      </c>
      <c r="FX20" s="1">
        <v>5.4188657149261097</v>
      </c>
      <c r="FY20" s="1">
        <v>40.778290743153498</v>
      </c>
      <c r="FZ20" s="1">
        <v>5.4335595806880104</v>
      </c>
      <c r="GA20" s="1">
        <v>106709.08565968199</v>
      </c>
      <c r="GB20" s="1">
        <v>660.196006513361</v>
      </c>
      <c r="GC20" s="1">
        <v>144669.930058478</v>
      </c>
      <c r="GD20" s="1">
        <v>649.14366871184495</v>
      </c>
      <c r="GE20" s="1">
        <v>106709.08565968199</v>
      </c>
      <c r="GF20" s="1">
        <v>660.196006513361</v>
      </c>
      <c r="GG20">
        <v>15</v>
      </c>
      <c r="GH20">
        <v>1</v>
      </c>
      <c r="GI20" s="1">
        <v>39.918937899189501</v>
      </c>
      <c r="GJ20" s="1">
        <v>3.6836495923726802</v>
      </c>
      <c r="GK20" s="1">
        <v>39.918937899189501</v>
      </c>
      <c r="GL20" s="1">
        <v>5.2960810975800898</v>
      </c>
    </row>
    <row r="21" spans="1:194" x14ac:dyDescent="0.3">
      <c r="A21" t="s">
        <v>34</v>
      </c>
      <c r="B21">
        <v>116</v>
      </c>
      <c r="D21">
        <v>4</v>
      </c>
      <c r="I21" t="s">
        <v>78</v>
      </c>
      <c r="J21" t="s">
        <v>79</v>
      </c>
      <c r="K21" s="9">
        <v>63383564.355260298</v>
      </c>
      <c r="L21" s="1">
        <v>31562.454353661898</v>
      </c>
      <c r="M21" s="1">
        <v>395343237.35979402</v>
      </c>
      <c r="N21" s="1">
        <v>29209.869150406801</v>
      </c>
      <c r="O21" s="1">
        <v>103589648.952472</v>
      </c>
      <c r="P21" s="1">
        <v>33073.3725395855</v>
      </c>
      <c r="Q21">
        <v>7</v>
      </c>
      <c r="R21">
        <v>0</v>
      </c>
      <c r="S21" s="1">
        <v>73.797541183637904</v>
      </c>
      <c r="T21" s="2">
        <v>-13.226705567508301</v>
      </c>
      <c r="U21" s="1">
        <v>83.967459572964401</v>
      </c>
      <c r="V21" s="2">
        <v>0</v>
      </c>
      <c r="W21" s="2"/>
      <c r="X21" s="2"/>
      <c r="Y21" s="1">
        <v>65438778.930748701</v>
      </c>
      <c r="Z21" s="1">
        <v>31364.650311090201</v>
      </c>
      <c r="AA21" s="1">
        <v>127023015.77792101</v>
      </c>
      <c r="AB21" s="1">
        <v>29059.2240121256</v>
      </c>
      <c r="AC21" s="1">
        <v>65876233.444987401</v>
      </c>
      <c r="AD21" s="1">
        <v>31868.567087219501</v>
      </c>
      <c r="AE21">
        <v>5</v>
      </c>
      <c r="AF21">
        <v>1</v>
      </c>
      <c r="AG21" s="1">
        <v>83.336951990142396</v>
      </c>
      <c r="AH21" s="2">
        <v>-9.1020535666304294</v>
      </c>
      <c r="AI21" s="1">
        <v>83.447603816934802</v>
      </c>
      <c r="AJ21" s="1">
        <v>0.51573369776317601</v>
      </c>
      <c r="AK21" s="1">
        <v>67980828.559997603</v>
      </c>
      <c r="AL21" s="1">
        <v>29512.120630002399</v>
      </c>
      <c r="AM21" s="1">
        <v>199733853.56456199</v>
      </c>
      <c r="AN21" s="1">
        <v>28451.228745610799</v>
      </c>
      <c r="AO21" s="1">
        <v>77241135.350984901</v>
      </c>
      <c r="AP21" s="1">
        <v>30207.5282489331</v>
      </c>
      <c r="AQ21">
        <v>11</v>
      </c>
      <c r="AR21">
        <v>1</v>
      </c>
      <c r="AS21" s="1">
        <v>80.462259613488797</v>
      </c>
      <c r="AT21" s="2">
        <v>-3.4154863665742901</v>
      </c>
      <c r="AU21" s="1">
        <v>82.804605685431298</v>
      </c>
      <c r="AV21" s="1">
        <v>2.5972057625100402</v>
      </c>
      <c r="AW21" s="9">
        <v>70597430.6951572</v>
      </c>
      <c r="AX21" s="1">
        <v>31486.8928148913</v>
      </c>
      <c r="AY21" s="1">
        <v>395343237.35979402</v>
      </c>
      <c r="AZ21" s="1">
        <v>29209.869150406801</v>
      </c>
      <c r="BA21" s="1">
        <v>110905003.03255901</v>
      </c>
      <c r="BB21" s="1">
        <v>33927.266139464497</v>
      </c>
      <c r="BC21">
        <v>8</v>
      </c>
      <c r="BD21">
        <v>0</v>
      </c>
      <c r="BE21" s="1">
        <v>71.947160706930902</v>
      </c>
      <c r="BF21" s="2">
        <v>-16.150010685658799</v>
      </c>
      <c r="BG21" s="1">
        <v>82.142749888267801</v>
      </c>
      <c r="BH21" s="2">
        <v>0</v>
      </c>
      <c r="BI21" s="1">
        <v>67556143.680469602</v>
      </c>
      <c r="BJ21" s="1">
        <v>29431.463369194698</v>
      </c>
      <c r="BK21" s="1">
        <v>154515063.156582</v>
      </c>
      <c r="BL21" s="1">
        <v>28208.818523775601</v>
      </c>
      <c r="BM21" s="1">
        <v>67831274.093839198</v>
      </c>
      <c r="BN21" s="1">
        <v>30036.3075452337</v>
      </c>
      <c r="BO21">
        <v>11</v>
      </c>
      <c r="BP21">
        <v>1</v>
      </c>
      <c r="BQ21" s="1">
        <v>82.842434703870396</v>
      </c>
      <c r="BR21" s="2">
        <v>-2.8293122114701998</v>
      </c>
      <c r="BS21" s="1">
        <v>82.912027500045895</v>
      </c>
      <c r="BT21" s="1">
        <v>3.4270972645466</v>
      </c>
      <c r="BU21" s="1">
        <v>60883965.725919098</v>
      </c>
      <c r="BV21" s="1">
        <v>30006.131005245599</v>
      </c>
      <c r="BW21" s="1">
        <v>231171495.93716201</v>
      </c>
      <c r="BX21" s="1">
        <v>29070.549533096299</v>
      </c>
      <c r="BY21" s="1">
        <v>65829380.304142401</v>
      </c>
      <c r="BZ21" s="1">
        <v>30211.240576783301</v>
      </c>
      <c r="CA21">
        <v>13</v>
      </c>
      <c r="CB21">
        <v>1</v>
      </c>
      <c r="CC21" s="1">
        <v>83.348803246574207</v>
      </c>
      <c r="CD21" s="2">
        <v>-3.4281955226170102</v>
      </c>
      <c r="CE21" s="1">
        <v>84.599719946515705</v>
      </c>
      <c r="CF21" s="1">
        <v>0.47696077169360102</v>
      </c>
      <c r="CG21" s="9">
        <v>70597430.695153698</v>
      </c>
      <c r="CH21" s="1">
        <v>31486.8928148913</v>
      </c>
      <c r="CI21" s="1">
        <v>395343237.35979402</v>
      </c>
      <c r="CJ21" s="1">
        <v>29209.869150406801</v>
      </c>
      <c r="CK21" s="1">
        <v>110905003.03246801</v>
      </c>
      <c r="CL21" s="1">
        <v>33927.266139464497</v>
      </c>
      <c r="CM21">
        <v>8</v>
      </c>
      <c r="CN21">
        <v>0</v>
      </c>
      <c r="CO21" s="1">
        <v>71.947160706953795</v>
      </c>
      <c r="CP21" s="2">
        <v>-16.150010685658799</v>
      </c>
      <c r="CQ21" s="1">
        <v>82.142749888268696</v>
      </c>
      <c r="CR21" s="2">
        <v>0</v>
      </c>
      <c r="CS21" s="1">
        <v>67556143.680469796</v>
      </c>
      <c r="CT21" s="1">
        <v>29431.463369194698</v>
      </c>
      <c r="CU21" s="1">
        <v>154515063.156578</v>
      </c>
      <c r="CV21" s="1">
        <v>28208.818523775601</v>
      </c>
      <c r="CW21" s="1">
        <v>67831274.093839005</v>
      </c>
      <c r="CX21" s="1">
        <v>30036.3075452337</v>
      </c>
      <c r="CY21">
        <v>11</v>
      </c>
      <c r="CZ21">
        <v>1</v>
      </c>
      <c r="DA21" s="1">
        <v>82.842434703870396</v>
      </c>
      <c r="DB21" s="2">
        <v>-2.8293122114701998</v>
      </c>
      <c r="DC21" s="1">
        <v>82.912027500045895</v>
      </c>
      <c r="DD21" s="1">
        <v>3.4270972645465299</v>
      </c>
      <c r="DE21" s="1">
        <v>63696368.180003703</v>
      </c>
      <c r="DF21" s="1">
        <v>29528.306858795801</v>
      </c>
      <c r="DG21" s="1">
        <v>231150362.24393699</v>
      </c>
      <c r="DH21" s="1">
        <v>29070.565806902701</v>
      </c>
      <c r="DI21" s="1">
        <v>64824340.060158901</v>
      </c>
      <c r="DJ21" s="1">
        <v>29957.2881522399</v>
      </c>
      <c r="DK21">
        <v>13</v>
      </c>
      <c r="DL21">
        <v>1</v>
      </c>
      <c r="DM21" s="1">
        <v>83.603022909137593</v>
      </c>
      <c r="DN21" s="2">
        <v>-2.5587892844864899</v>
      </c>
      <c r="DO21" s="1">
        <v>83.888337484818194</v>
      </c>
      <c r="DP21" s="1">
        <v>0.47690505831027202</v>
      </c>
      <c r="DQ21" s="10"/>
      <c r="EC21" s="9">
        <v>58982458.887358703</v>
      </c>
      <c r="ED21" s="1">
        <v>31386.542581063299</v>
      </c>
      <c r="EE21" s="1">
        <v>395343237.35979402</v>
      </c>
      <c r="EF21" s="1">
        <v>29209.869150406801</v>
      </c>
      <c r="EG21" s="1">
        <v>103863863.95200101</v>
      </c>
      <c r="EH21" s="1">
        <v>33907.133655447702</v>
      </c>
      <c r="EI21">
        <v>6</v>
      </c>
      <c r="EJ21">
        <v>0</v>
      </c>
      <c r="EK21" s="1">
        <v>73.728179936595893</v>
      </c>
      <c r="EL21" s="2">
        <v>-16.081087117692299</v>
      </c>
      <c r="EM21" s="1">
        <v>85.080696136031193</v>
      </c>
      <c r="EN21" s="2">
        <v>0</v>
      </c>
      <c r="EO21" s="1">
        <v>66843440.636277199</v>
      </c>
      <c r="EP21" s="1">
        <v>31582.064545285801</v>
      </c>
      <c r="EQ21" s="1">
        <v>395343237.35979402</v>
      </c>
      <c r="ER21" s="1">
        <v>29209.869150406801</v>
      </c>
      <c r="ES21" s="1">
        <v>70164353.3182735</v>
      </c>
      <c r="ET21" s="1">
        <v>31892.732556165902</v>
      </c>
      <c r="EU21">
        <v>10</v>
      </c>
      <c r="EV21">
        <v>0</v>
      </c>
      <c r="EW21" s="1">
        <v>82.252294541105698</v>
      </c>
      <c r="EX21" s="2">
        <v>-9.1847840602934792</v>
      </c>
      <c r="EY21" s="1">
        <v>83.092301999984798</v>
      </c>
      <c r="EZ21" s="2">
        <v>0</v>
      </c>
      <c r="FA21" s="2"/>
      <c r="FB21" s="10" t="s">
        <v>38</v>
      </c>
      <c r="FC21" s="1">
        <v>11469156.6143621</v>
      </c>
      <c r="FD21" s="1">
        <v>3621.1048661639202</v>
      </c>
      <c r="FE21" s="1">
        <v>24139867.7903951</v>
      </c>
      <c r="FF21" s="1">
        <v>3234.8068827195002</v>
      </c>
      <c r="FG21" s="1">
        <v>769709118.78967297</v>
      </c>
      <c r="FH21" s="1">
        <v>4753.7706901873498</v>
      </c>
      <c r="FI21">
        <v>2</v>
      </c>
      <c r="FJ21">
        <v>0</v>
      </c>
      <c r="FK21" s="2">
        <v>-3088.5390817920202</v>
      </c>
      <c r="FL21" s="2">
        <v>-46.956862110755999</v>
      </c>
      <c r="FM21" s="1">
        <v>52.488734760488001</v>
      </c>
      <c r="FN21" s="2">
        <v>0</v>
      </c>
      <c r="FO21" s="1">
        <v>9139990.6297921706</v>
      </c>
      <c r="FP21" s="1">
        <v>4279.1170774633802</v>
      </c>
      <c r="FQ21" s="1">
        <v>24139867.809059601</v>
      </c>
      <c r="FR21" s="1">
        <v>3235.1963433391802</v>
      </c>
      <c r="FS21" s="1">
        <v>11515785.3565741</v>
      </c>
      <c r="FT21" s="1">
        <v>4175.8929983660801</v>
      </c>
      <c r="FU21">
        <v>4</v>
      </c>
      <c r="FV21">
        <v>0</v>
      </c>
      <c r="FW21" s="1">
        <v>52.295574078279103</v>
      </c>
      <c r="FX21" s="2">
        <v>-29.076957167179501</v>
      </c>
      <c r="FY21" s="1">
        <v>62.137362548596997</v>
      </c>
      <c r="FZ21" s="2">
        <v>0</v>
      </c>
      <c r="GA21" s="1">
        <v>12563985.145511599</v>
      </c>
      <c r="GB21" s="1">
        <v>3635.4264134045102</v>
      </c>
      <c r="GC21" s="1">
        <v>24139867.781300399</v>
      </c>
      <c r="GD21" s="1">
        <v>3234.8944449136702</v>
      </c>
      <c r="GE21" s="1">
        <v>3813694511.92663</v>
      </c>
      <c r="GF21" s="1">
        <v>4519.0132329233602</v>
      </c>
      <c r="GG21" s="3">
        <v>2</v>
      </c>
      <c r="GH21" s="3">
        <v>0</v>
      </c>
      <c r="GI21" s="2">
        <v>-15698.323944760101</v>
      </c>
      <c r="GJ21" s="2">
        <v>-39.695848191545899</v>
      </c>
      <c r="GK21" s="1">
        <v>47.953380443764701</v>
      </c>
      <c r="GL21" s="2">
        <v>0</v>
      </c>
    </row>
    <row r="22" spans="1:194" x14ac:dyDescent="0.3">
      <c r="A22" t="s">
        <v>35</v>
      </c>
      <c r="B22">
        <v>37</v>
      </c>
      <c r="D22">
        <v>3</v>
      </c>
      <c r="I22" t="s">
        <v>78</v>
      </c>
      <c r="J22" t="s">
        <v>79</v>
      </c>
      <c r="K22" s="9">
        <v>8656017.3605160899</v>
      </c>
      <c r="L22" s="1">
        <v>10513.532708136299</v>
      </c>
      <c r="M22" s="1">
        <v>13073962.7929362</v>
      </c>
      <c r="N22" s="1">
        <v>8834.6599363611604</v>
      </c>
      <c r="O22" s="1">
        <v>13287543.1599991</v>
      </c>
      <c r="P22" s="1">
        <v>9537.0577119518603</v>
      </c>
      <c r="Q22">
        <v>0</v>
      </c>
      <c r="R22">
        <v>7</v>
      </c>
      <c r="S22" s="2">
        <v>-53.506429187740899</v>
      </c>
      <c r="T22" s="1">
        <v>9.2877914901884093</v>
      </c>
      <c r="U22" s="2">
        <v>0</v>
      </c>
      <c r="V22" s="1">
        <v>15.9686835850703</v>
      </c>
      <c r="W22" s="1"/>
      <c r="X22" s="1"/>
      <c r="Y22" s="1">
        <v>8656017.3605160899</v>
      </c>
      <c r="Z22" s="1">
        <v>10513.532708136299</v>
      </c>
      <c r="AA22" s="1">
        <v>12557407.2549305</v>
      </c>
      <c r="AB22" s="1">
        <v>7682.9323597689299</v>
      </c>
      <c r="AC22" s="1">
        <v>10216096.507597901</v>
      </c>
      <c r="AD22" s="1">
        <v>7840.6636763828401</v>
      </c>
      <c r="AE22">
        <v>0</v>
      </c>
      <c r="AF22">
        <v>7</v>
      </c>
      <c r="AG22" s="2">
        <v>-18.023059359816799</v>
      </c>
      <c r="AH22" s="1">
        <v>25.4231294651794</v>
      </c>
      <c r="AI22" s="2">
        <v>0</v>
      </c>
      <c r="AJ22" s="1">
        <v>26.923398889288801</v>
      </c>
      <c r="AK22" s="1">
        <v>7132965.2537188297</v>
      </c>
      <c r="AL22" s="1">
        <v>7697.2905792451002</v>
      </c>
      <c r="AM22" s="1">
        <v>10178671.133625301</v>
      </c>
      <c r="AN22" s="1">
        <v>7659.2848169742401</v>
      </c>
      <c r="AO22" s="1">
        <v>11054864.1567856</v>
      </c>
      <c r="AP22" s="1">
        <v>8105.8333896346003</v>
      </c>
      <c r="AQ22">
        <v>7</v>
      </c>
      <c r="AR22">
        <v>4</v>
      </c>
      <c r="AS22" s="2">
        <v>-27.7130543569812</v>
      </c>
      <c r="AT22" s="1">
        <v>22.9009542780841</v>
      </c>
      <c r="AU22" s="1">
        <v>17.595298661767501</v>
      </c>
      <c r="AV22" s="1">
        <v>27.148323692883999</v>
      </c>
      <c r="AW22" s="9">
        <v>8656017.3605160899</v>
      </c>
      <c r="AX22" s="1">
        <v>10513.532708136299</v>
      </c>
      <c r="AY22" s="1">
        <v>10903704.6307439</v>
      </c>
      <c r="AZ22" s="1">
        <v>8224.6912970999892</v>
      </c>
      <c r="BA22" s="1">
        <v>11253992.2626389</v>
      </c>
      <c r="BB22" s="1">
        <v>9099.4419605697094</v>
      </c>
      <c r="BC22">
        <v>0</v>
      </c>
      <c r="BD22">
        <v>4</v>
      </c>
      <c r="BE22" s="2">
        <v>-30.013513073267699</v>
      </c>
      <c r="BF22" s="1">
        <v>13.450195921987801</v>
      </c>
      <c r="BG22" s="2">
        <v>0</v>
      </c>
      <c r="BH22" s="1">
        <v>21.770431258229799</v>
      </c>
      <c r="BI22" s="1">
        <v>8656017.3605160899</v>
      </c>
      <c r="BJ22" s="1">
        <v>10513.532708136299</v>
      </c>
      <c r="BK22" s="1">
        <v>8656017.3605160899</v>
      </c>
      <c r="BL22" s="1">
        <v>10513.532708136299</v>
      </c>
      <c r="BM22" s="1">
        <v>14228846.6971856</v>
      </c>
      <c r="BN22" s="1">
        <v>20897.744706920399</v>
      </c>
      <c r="BO22">
        <v>0</v>
      </c>
      <c r="BP22">
        <v>0</v>
      </c>
      <c r="BQ22" s="2">
        <v>-64.380986134451206</v>
      </c>
      <c r="BR22" s="2">
        <v>-98.769959508927599</v>
      </c>
      <c r="BS22" s="2">
        <v>0</v>
      </c>
      <c r="BT22" s="2">
        <v>0</v>
      </c>
      <c r="BU22" s="1">
        <v>8457656.5251550805</v>
      </c>
      <c r="BV22" s="1">
        <v>10619.2285889632</v>
      </c>
      <c r="BW22" s="1">
        <v>10732746.7254763</v>
      </c>
      <c r="BX22" s="1">
        <v>9920.2601363357408</v>
      </c>
      <c r="BY22" s="1">
        <v>9782633.8496784791</v>
      </c>
      <c r="BZ22" s="1">
        <v>10913.6835244431</v>
      </c>
      <c r="CA22">
        <v>11</v>
      </c>
      <c r="CB22">
        <v>4</v>
      </c>
      <c r="CC22" s="2">
        <v>-13.015413928134899</v>
      </c>
      <c r="CD22" s="2">
        <v>-3.8060548001828298</v>
      </c>
      <c r="CE22" s="1">
        <v>2.2915947034235198</v>
      </c>
      <c r="CF22" s="1">
        <v>5.6429421800481299</v>
      </c>
      <c r="CG22" s="9">
        <v>8656017.3605160899</v>
      </c>
      <c r="CH22" s="1">
        <v>10513.532708136299</v>
      </c>
      <c r="CI22" s="1">
        <v>10984847.3536801</v>
      </c>
      <c r="CJ22" s="1">
        <v>10162.4529252557</v>
      </c>
      <c r="CK22" s="1">
        <v>13832764.3092192</v>
      </c>
      <c r="CL22" s="1">
        <v>12924.1143594975</v>
      </c>
      <c r="CM22">
        <v>0</v>
      </c>
      <c r="CN22">
        <v>2</v>
      </c>
      <c r="CO22" s="2">
        <v>-59.805182142038902</v>
      </c>
      <c r="CP22" s="2">
        <v>-22.9283697333784</v>
      </c>
      <c r="CQ22" s="2">
        <v>0</v>
      </c>
      <c r="CR22" s="1">
        <v>3.3393131749985701</v>
      </c>
      <c r="CS22" s="1">
        <v>7554951.6898025395</v>
      </c>
      <c r="CT22" s="1">
        <v>7529.1674264189296</v>
      </c>
      <c r="CU22" s="1">
        <v>7554951.6898025395</v>
      </c>
      <c r="CV22" s="1">
        <v>7529.1674264189296</v>
      </c>
      <c r="CW22" s="1">
        <v>9772866.5705603193</v>
      </c>
      <c r="CX22" s="1">
        <v>7559.8790190816499</v>
      </c>
      <c r="CY22">
        <v>13</v>
      </c>
      <c r="CZ22">
        <v>13</v>
      </c>
      <c r="DA22" s="2">
        <v>-12.902575902154201</v>
      </c>
      <c r="DB22" s="1">
        <v>28.0938269851851</v>
      </c>
      <c r="DC22" s="1">
        <v>12.720234085204</v>
      </c>
      <c r="DD22" s="1">
        <v>28.3859418576575</v>
      </c>
      <c r="DE22" s="1">
        <v>7445409.9351321002</v>
      </c>
      <c r="DF22" s="1">
        <v>7690.1073852221598</v>
      </c>
      <c r="DG22" s="1">
        <v>10751749.881773699</v>
      </c>
      <c r="DH22" s="1">
        <v>7637.0609836454896</v>
      </c>
      <c r="DI22" s="1">
        <v>7445409.9351321002</v>
      </c>
      <c r="DJ22" s="1">
        <v>7690.1073852221598</v>
      </c>
      <c r="DK22">
        <v>15</v>
      </c>
      <c r="DL22">
        <v>5</v>
      </c>
      <c r="DM22" s="1">
        <v>13.9857324097581</v>
      </c>
      <c r="DN22" s="1">
        <v>26.855153270500001</v>
      </c>
      <c r="DO22" s="1">
        <v>13.9857324097581</v>
      </c>
      <c r="DP22" s="1">
        <v>27.359706811629099</v>
      </c>
      <c r="DQ22" s="9">
        <v>8656017.3605160899</v>
      </c>
      <c r="DR22" s="1">
        <v>10513.532708136299</v>
      </c>
      <c r="DS22" s="1">
        <v>12807192.5981576</v>
      </c>
      <c r="DT22" s="1">
        <v>10069.891546074499</v>
      </c>
      <c r="DU22" s="1">
        <v>19620068.247911699</v>
      </c>
      <c r="DV22" s="1">
        <v>12017.3725040303</v>
      </c>
      <c r="DW22">
        <v>0</v>
      </c>
      <c r="DX22">
        <v>7</v>
      </c>
      <c r="DY22" s="2">
        <v>-126.66391979997</v>
      </c>
      <c r="DZ22" s="2">
        <v>-14.303848550641399</v>
      </c>
      <c r="EA22" s="2">
        <v>0</v>
      </c>
      <c r="EB22" s="1">
        <v>4.2197154313167804</v>
      </c>
      <c r="EC22" s="1">
        <v>8656017.3605160899</v>
      </c>
      <c r="ED22" s="1">
        <v>10513.532708136299</v>
      </c>
      <c r="EE22" s="1">
        <v>12327715.0047839</v>
      </c>
      <c r="EF22" s="1">
        <v>7765.6809630363396</v>
      </c>
      <c r="EG22" s="1">
        <v>13944094.1989756</v>
      </c>
      <c r="EH22" s="1">
        <v>8058.4341210351604</v>
      </c>
      <c r="EI22">
        <v>0</v>
      </c>
      <c r="EJ22">
        <v>6</v>
      </c>
      <c r="EK22" s="2">
        <v>-61.091338178003397</v>
      </c>
      <c r="EL22" s="1">
        <v>23.3517948272628</v>
      </c>
      <c r="EM22" s="2">
        <v>0</v>
      </c>
      <c r="EN22" s="1">
        <v>26.136331349152002</v>
      </c>
      <c r="EO22" s="1">
        <v>8656017.3605160899</v>
      </c>
      <c r="EP22" s="1">
        <v>10513.532708136299</v>
      </c>
      <c r="EQ22" s="1">
        <v>10111884.6266095</v>
      </c>
      <c r="ER22" s="1">
        <v>7657.82287083133</v>
      </c>
      <c r="ES22" s="1">
        <v>11609362.1093616</v>
      </c>
      <c r="ET22" s="1">
        <v>8249.2616498385505</v>
      </c>
      <c r="EU22">
        <v>0</v>
      </c>
      <c r="EV22">
        <v>5</v>
      </c>
      <c r="EW22" s="2">
        <v>-34.118979038986602</v>
      </c>
      <c r="EX22" s="1">
        <v>21.536729101013499</v>
      </c>
      <c r="EY22" s="2">
        <v>0</v>
      </c>
      <c r="EZ22" s="1">
        <v>27.162229067827798</v>
      </c>
      <c r="FA22" s="1"/>
      <c r="FB22" s="12"/>
    </row>
    <row r="23" spans="1:194" x14ac:dyDescent="0.3">
      <c r="A23" t="s">
        <v>36</v>
      </c>
      <c r="B23">
        <v>8</v>
      </c>
      <c r="D23">
        <v>2</v>
      </c>
      <c r="I23" t="s">
        <v>79</v>
      </c>
      <c r="J23" t="s">
        <v>78</v>
      </c>
      <c r="K23" s="9">
        <v>146033.91804999599</v>
      </c>
      <c r="L23" s="1">
        <v>691.44021384804603</v>
      </c>
      <c r="M23" s="1">
        <v>177608.52076921301</v>
      </c>
      <c r="N23" s="1">
        <v>685.44541370109596</v>
      </c>
      <c r="O23" s="1">
        <v>259269.861719509</v>
      </c>
      <c r="P23" s="1">
        <v>830.94488494324798</v>
      </c>
      <c r="Q23">
        <v>1</v>
      </c>
      <c r="R23">
        <v>0</v>
      </c>
      <c r="S23" s="2">
        <v>-45.978278855443001</v>
      </c>
      <c r="T23" s="2">
        <v>-21.226996101194899</v>
      </c>
      <c r="U23" s="1">
        <v>17.7776395988598</v>
      </c>
      <c r="V23" s="2">
        <v>0</v>
      </c>
      <c r="W23" s="2"/>
      <c r="X23" s="2"/>
      <c r="Y23" s="1">
        <v>81947.640529491706</v>
      </c>
      <c r="Z23" s="1">
        <v>607.170148305559</v>
      </c>
      <c r="AA23" s="1">
        <v>81947.640529491706</v>
      </c>
      <c r="AB23" s="1">
        <v>607.170148305559</v>
      </c>
      <c r="AC23" s="1">
        <v>96646.818453229396</v>
      </c>
      <c r="AD23" s="1">
        <v>639.32759713688097</v>
      </c>
      <c r="AE23">
        <v>8</v>
      </c>
      <c r="AF23">
        <v>8</v>
      </c>
      <c r="AG23" s="1">
        <v>45.584357082274501</v>
      </c>
      <c r="AH23" s="1">
        <v>6.7281530581990099</v>
      </c>
      <c r="AI23" s="1">
        <v>53.860524160338201</v>
      </c>
      <c r="AJ23" s="1">
        <v>11.4196205607221</v>
      </c>
      <c r="AK23" s="1">
        <v>85712.944848793006</v>
      </c>
      <c r="AL23" s="1">
        <v>622.31598604888302</v>
      </c>
      <c r="AM23" s="1">
        <v>85712.944848793006</v>
      </c>
      <c r="AN23" s="1">
        <v>622.31598604888302</v>
      </c>
      <c r="AO23" s="1">
        <v>97760.666150277699</v>
      </c>
      <c r="AP23" s="1">
        <v>622.34995752894997</v>
      </c>
      <c r="AQ23">
        <v>12</v>
      </c>
      <c r="AR23">
        <v>12</v>
      </c>
      <c r="AS23" s="1">
        <v>44.957220674502899</v>
      </c>
      <c r="AT23" s="1">
        <v>9.2050300302483894</v>
      </c>
      <c r="AU23" s="1">
        <v>51.740522088932003</v>
      </c>
      <c r="AV23" s="1">
        <v>9.2099861477434004</v>
      </c>
      <c r="AW23" s="9">
        <v>146033.918049995</v>
      </c>
      <c r="AX23" s="1">
        <v>691.44021384804705</v>
      </c>
      <c r="AY23" s="1">
        <v>177608.52076921301</v>
      </c>
      <c r="AZ23" s="1">
        <v>685.44541370109596</v>
      </c>
      <c r="BA23" s="1">
        <v>245227.40310131601</v>
      </c>
      <c r="BB23" s="1">
        <v>839.77044148351695</v>
      </c>
      <c r="BC23">
        <v>1</v>
      </c>
      <c r="BD23">
        <v>0</v>
      </c>
      <c r="BE23" s="2">
        <v>-38.071868421204698</v>
      </c>
      <c r="BF23" s="2">
        <v>-22.514561290757701</v>
      </c>
      <c r="BG23" s="1">
        <v>17.777639598860301</v>
      </c>
      <c r="BH23" s="2">
        <v>0</v>
      </c>
      <c r="BI23" s="1">
        <v>72795.674952058806</v>
      </c>
      <c r="BJ23" s="1">
        <v>605.75372097633101</v>
      </c>
      <c r="BK23" s="1">
        <v>77874.749515831907</v>
      </c>
      <c r="BL23" s="1">
        <v>603.90689092459297</v>
      </c>
      <c r="BM23" s="1">
        <v>83872.237959796694</v>
      </c>
      <c r="BN23" s="1">
        <v>610.74760663753</v>
      </c>
      <c r="BO23">
        <v>11</v>
      </c>
      <c r="BP23">
        <v>13</v>
      </c>
      <c r="BQ23" s="1">
        <v>52.776906425124999</v>
      </c>
      <c r="BR23" s="1">
        <v>10.897703240908999</v>
      </c>
      <c r="BS23" s="1">
        <v>59.013410709810202</v>
      </c>
      <c r="BT23" s="1">
        <v>11.895698934833099</v>
      </c>
      <c r="BU23" s="1">
        <v>146033.918049995</v>
      </c>
      <c r="BV23" s="1">
        <v>691.44021384804705</v>
      </c>
      <c r="BW23" s="1">
        <v>177608.52076921301</v>
      </c>
      <c r="BX23" s="1">
        <v>685.44541370109596</v>
      </c>
      <c r="BY23" s="1">
        <v>159749.778144868</v>
      </c>
      <c r="BZ23" s="1">
        <v>711.49154684780297</v>
      </c>
      <c r="CA23">
        <v>1</v>
      </c>
      <c r="CB23">
        <v>0</v>
      </c>
      <c r="CC23" s="1">
        <v>10.0551159071646</v>
      </c>
      <c r="CD23" s="2">
        <v>-3.7998843709624501</v>
      </c>
      <c r="CE23" s="1">
        <v>17.777639598860301</v>
      </c>
      <c r="CF23" s="2">
        <v>0</v>
      </c>
      <c r="CG23" s="9">
        <v>146033.91804999599</v>
      </c>
      <c r="CH23" s="1">
        <v>691.44021384804603</v>
      </c>
      <c r="CI23" s="1">
        <v>177608.52076921301</v>
      </c>
      <c r="CJ23" s="1">
        <v>685.44541370109596</v>
      </c>
      <c r="CK23" s="1">
        <v>218961.48466426501</v>
      </c>
      <c r="CL23" s="1">
        <v>839.75983465904199</v>
      </c>
      <c r="CM23">
        <v>1</v>
      </c>
      <c r="CN23">
        <v>0</v>
      </c>
      <c r="CO23" s="2">
        <v>-23.283209451863101</v>
      </c>
      <c r="CP23" s="2">
        <v>-22.5130138554312</v>
      </c>
      <c r="CQ23" s="1">
        <v>17.7776395988598</v>
      </c>
      <c r="CR23" s="2">
        <v>0</v>
      </c>
      <c r="CS23" s="1">
        <v>72795.674952058806</v>
      </c>
      <c r="CT23" s="1">
        <v>605.75372097632999</v>
      </c>
      <c r="CU23" s="1">
        <v>82617.437291620095</v>
      </c>
      <c r="CV23" s="1">
        <v>603.86871834734495</v>
      </c>
      <c r="CW23" s="1">
        <v>83872.248056057797</v>
      </c>
      <c r="CX23" s="1">
        <v>610.74760663753</v>
      </c>
      <c r="CY23">
        <v>11</v>
      </c>
      <c r="CZ23">
        <v>13</v>
      </c>
      <c r="DA23" s="1">
        <v>52.776900740566099</v>
      </c>
      <c r="DB23" s="1">
        <v>10.8977032409089</v>
      </c>
      <c r="DC23" s="1">
        <v>59.013410709810202</v>
      </c>
      <c r="DD23" s="1">
        <v>11.9012679526548</v>
      </c>
      <c r="DE23" s="1">
        <v>146033.918049992</v>
      </c>
      <c r="DF23" s="1">
        <v>691.440213848045</v>
      </c>
      <c r="DG23" s="1">
        <v>147412.95528895</v>
      </c>
      <c r="DH23" s="1">
        <v>685.11897777002196</v>
      </c>
      <c r="DI23" s="1">
        <v>191431.41934188199</v>
      </c>
      <c r="DJ23" s="1">
        <v>751.39928586288897</v>
      </c>
      <c r="DK23">
        <v>1</v>
      </c>
      <c r="DL23">
        <v>8</v>
      </c>
      <c r="DM23" s="2">
        <v>-7.78279021344414</v>
      </c>
      <c r="DN23" s="2">
        <v>-9.6220458760780598</v>
      </c>
      <c r="DO23" s="1">
        <v>17.777639598861999</v>
      </c>
      <c r="DP23" s="2">
        <v>4.7623913523819797E-2</v>
      </c>
      <c r="DQ23" s="9">
        <v>146033.91804999599</v>
      </c>
      <c r="DR23" s="1">
        <v>691.44021384804603</v>
      </c>
      <c r="DS23" s="1">
        <v>177608.52076921301</v>
      </c>
      <c r="DT23" s="1">
        <v>685.44541370109596</v>
      </c>
      <c r="DU23" s="1">
        <v>184658.467833987</v>
      </c>
      <c r="DV23" s="1">
        <v>734.46971140151902</v>
      </c>
      <c r="DW23">
        <v>1</v>
      </c>
      <c r="DX23">
        <v>0</v>
      </c>
      <c r="DY23" s="2">
        <v>-3.9693743488437598</v>
      </c>
      <c r="DZ23" s="2">
        <v>-7.1521811541073603</v>
      </c>
      <c r="EA23" s="1">
        <v>17.777639598859601</v>
      </c>
      <c r="EB23" s="2">
        <v>0</v>
      </c>
      <c r="EC23" s="1">
        <v>80135.570992340305</v>
      </c>
      <c r="ED23" s="1">
        <v>615.96594660463995</v>
      </c>
      <c r="EE23" s="1">
        <v>81180.471680264003</v>
      </c>
      <c r="EF23" s="1">
        <v>610.89724218898596</v>
      </c>
      <c r="EG23" s="1">
        <v>95010.512013946107</v>
      </c>
      <c r="EH23" s="1">
        <v>633.904337033346</v>
      </c>
      <c r="EI23">
        <v>13</v>
      </c>
      <c r="EJ23">
        <v>14</v>
      </c>
      <c r="EK23" s="1">
        <v>46.505656596620099</v>
      </c>
      <c r="EL23" s="1">
        <v>7.5193553910371804</v>
      </c>
      <c r="EM23" s="1">
        <v>54.880784635062902</v>
      </c>
      <c r="EN23" s="1">
        <v>10.8758728298412</v>
      </c>
      <c r="EO23" s="1">
        <v>88847.004403203493</v>
      </c>
      <c r="EP23" s="1">
        <v>618.68342939339595</v>
      </c>
      <c r="EQ23" s="1">
        <v>90264.913910645802</v>
      </c>
      <c r="ER23" s="1">
        <v>615.69954461549003</v>
      </c>
      <c r="ES23" s="1">
        <v>132067.313512722</v>
      </c>
      <c r="ET23" s="1">
        <v>695.63178445471499</v>
      </c>
      <c r="EU23">
        <v>6</v>
      </c>
      <c r="EV23">
        <v>4</v>
      </c>
      <c r="EW23" s="1">
        <v>25.641341450992599</v>
      </c>
      <c r="EX23" s="2">
        <v>-1.48609510691992</v>
      </c>
      <c r="EY23" s="1">
        <v>49.975933576603303</v>
      </c>
      <c r="EZ23" s="1">
        <v>10.175262346422199</v>
      </c>
      <c r="FA23" s="1"/>
      <c r="FB23" s="12"/>
    </row>
    <row r="24" spans="1:194" x14ac:dyDescent="0.3">
      <c r="A24" t="s">
        <v>37</v>
      </c>
      <c r="B24">
        <v>5</v>
      </c>
      <c r="D24">
        <v>1</v>
      </c>
      <c r="K24" s="9">
        <v>59636.8544083987</v>
      </c>
      <c r="L24" s="1">
        <v>482.383078994203</v>
      </c>
      <c r="M24" s="1">
        <v>59636.8544083987</v>
      </c>
      <c r="N24" s="1">
        <v>482.383078994203</v>
      </c>
      <c r="O24" s="1">
        <v>145893.70493123299</v>
      </c>
      <c r="P24" s="1">
        <v>566.23832694011196</v>
      </c>
      <c r="Q24">
        <v>0</v>
      </c>
      <c r="R24">
        <v>0</v>
      </c>
      <c r="S24" s="2">
        <v>-144.636821271858</v>
      </c>
      <c r="T24" s="2">
        <v>-17.3835384360397</v>
      </c>
      <c r="U24" s="2">
        <v>0</v>
      </c>
      <c r="V24" s="2">
        <v>0</v>
      </c>
      <c r="W24" s="2"/>
      <c r="X24" s="2"/>
      <c r="Y24" s="1">
        <v>43096.775315875297</v>
      </c>
      <c r="Z24" s="1">
        <v>363.15850853595902</v>
      </c>
      <c r="AA24" s="1">
        <v>46119.975990658</v>
      </c>
      <c r="AB24" s="1">
        <v>352.01423709953002</v>
      </c>
      <c r="AC24" s="1">
        <v>43151.6501730444</v>
      </c>
      <c r="AD24" s="1">
        <v>360.586520259287</v>
      </c>
      <c r="AE24">
        <v>10</v>
      </c>
      <c r="AF24">
        <v>13</v>
      </c>
      <c r="AG24" s="1">
        <v>27.642645472985599</v>
      </c>
      <c r="AH24" s="1">
        <v>25.248928504886301</v>
      </c>
      <c r="AI24" s="1">
        <v>27.734660482351099</v>
      </c>
      <c r="AJ24" s="1">
        <v>27.025998127152299</v>
      </c>
      <c r="AK24" s="1">
        <v>56491.448322547898</v>
      </c>
      <c r="AL24" s="1">
        <v>451.41916520532197</v>
      </c>
      <c r="AM24" s="1">
        <v>56491.448322547898</v>
      </c>
      <c r="AN24" s="1">
        <v>451.41916520532197</v>
      </c>
      <c r="AO24" s="1">
        <v>85352.138179800895</v>
      </c>
      <c r="AP24" s="1">
        <v>531.25154213048097</v>
      </c>
      <c r="AQ24">
        <v>1</v>
      </c>
      <c r="AR24">
        <v>1</v>
      </c>
      <c r="AS24" s="2">
        <v>-43.119785619981798</v>
      </c>
      <c r="AT24" s="2">
        <v>-10.130633777240201</v>
      </c>
      <c r="AU24" s="1">
        <v>5.2742655813312798</v>
      </c>
      <c r="AV24" s="1">
        <v>6.4189469194155997</v>
      </c>
      <c r="AW24" s="9">
        <v>59636.8544083987</v>
      </c>
      <c r="AX24" s="1">
        <v>482.383078994203</v>
      </c>
      <c r="AY24" s="1">
        <v>59636.8544083987</v>
      </c>
      <c r="AZ24" s="1">
        <v>482.383078994203</v>
      </c>
      <c r="BA24" s="1">
        <v>145893.70493141501</v>
      </c>
      <c r="BB24" s="1">
        <v>566.23832694011196</v>
      </c>
      <c r="BC24">
        <v>0</v>
      </c>
      <c r="BD24">
        <v>0</v>
      </c>
      <c r="BE24" s="2">
        <v>-144.63682127216401</v>
      </c>
      <c r="BF24" s="2">
        <v>-17.383538436039601</v>
      </c>
      <c r="BG24" s="2">
        <v>0</v>
      </c>
      <c r="BH24" s="2">
        <v>0</v>
      </c>
      <c r="BI24" s="1">
        <v>59636.8544083987</v>
      </c>
      <c r="BJ24" s="1">
        <v>482.383078994203</v>
      </c>
      <c r="BK24" s="1">
        <v>75302.310738380605</v>
      </c>
      <c r="BL24" s="1">
        <v>450.09856871876599</v>
      </c>
      <c r="BM24" s="1">
        <v>67252.115445621399</v>
      </c>
      <c r="BN24" s="1">
        <v>458.900630562738</v>
      </c>
      <c r="BO24">
        <v>0</v>
      </c>
      <c r="BP24">
        <v>12</v>
      </c>
      <c r="BQ24" s="2">
        <v>-12.7693875083898</v>
      </c>
      <c r="BR24" s="1">
        <v>4.8680083224368698</v>
      </c>
      <c r="BS24" s="2">
        <v>0</v>
      </c>
      <c r="BT24" s="1">
        <v>6.6927120127744999</v>
      </c>
      <c r="BU24" s="1">
        <v>59636.8544083987</v>
      </c>
      <c r="BV24" s="1">
        <v>482.383078994203</v>
      </c>
      <c r="BW24" s="1">
        <v>73094.082101738401</v>
      </c>
      <c r="BX24" s="1">
        <v>460.87938326544997</v>
      </c>
      <c r="BY24" s="1">
        <v>71663.387786773907</v>
      </c>
      <c r="BZ24" s="1">
        <v>473.82219352160598</v>
      </c>
      <c r="CA24">
        <v>0</v>
      </c>
      <c r="CB24">
        <v>3</v>
      </c>
      <c r="CC24" s="2">
        <v>-20.166277208412598</v>
      </c>
      <c r="CD24" s="1">
        <v>1.77470683475187</v>
      </c>
      <c r="CE24" s="2">
        <v>0</v>
      </c>
      <c r="CF24" s="1">
        <v>4.4578047334475004</v>
      </c>
      <c r="CG24" s="9">
        <v>59636.8544083987</v>
      </c>
      <c r="CH24" s="1">
        <v>482.383078994203</v>
      </c>
      <c r="CI24" s="1">
        <v>59636.8544083987</v>
      </c>
      <c r="CJ24" s="1">
        <v>482.383078994203</v>
      </c>
      <c r="CK24" s="1">
        <v>174337.93592262501</v>
      </c>
      <c r="CL24" s="1">
        <v>594.23908792463999</v>
      </c>
      <c r="CM24">
        <v>0</v>
      </c>
      <c r="CN24">
        <v>0</v>
      </c>
      <c r="CO24" s="2">
        <v>-192.332547804656</v>
      </c>
      <c r="CP24" s="2">
        <v>-23.188211569042402</v>
      </c>
      <c r="CQ24" s="2">
        <v>0</v>
      </c>
      <c r="CR24" s="2">
        <v>0</v>
      </c>
      <c r="CS24" s="1">
        <v>43277.941501361303</v>
      </c>
      <c r="CT24" s="1">
        <v>356.71589248428899</v>
      </c>
      <c r="CU24" s="1">
        <v>43789.7066128144</v>
      </c>
      <c r="CV24" s="1">
        <v>350.86817608031902</v>
      </c>
      <c r="CW24" s="1">
        <v>43789.7066128144</v>
      </c>
      <c r="CX24" s="1">
        <v>350.86817608031902</v>
      </c>
      <c r="CY24">
        <v>12</v>
      </c>
      <c r="CZ24">
        <v>15</v>
      </c>
      <c r="DA24" s="1">
        <v>26.572742564625401</v>
      </c>
      <c r="DB24" s="1">
        <v>27.263581298933499</v>
      </c>
      <c r="DC24" s="1">
        <v>27.4308782200516</v>
      </c>
      <c r="DD24" s="1">
        <v>27.263581298933499</v>
      </c>
      <c r="DE24" s="1">
        <v>59636.8544083987</v>
      </c>
      <c r="DF24" s="1">
        <v>482.383078994203</v>
      </c>
      <c r="DG24" s="1">
        <v>59636.8544083987</v>
      </c>
      <c r="DH24" s="1">
        <v>482.383078994203</v>
      </c>
      <c r="DI24" s="1">
        <v>124969.669052301</v>
      </c>
      <c r="DJ24" s="1">
        <v>522.17780106157397</v>
      </c>
      <c r="DK24">
        <v>0</v>
      </c>
      <c r="DL24">
        <v>0</v>
      </c>
      <c r="DM24" s="2">
        <v>-109.551074234227</v>
      </c>
      <c r="DN24" s="2">
        <v>-8.2496098640824904</v>
      </c>
      <c r="DO24" s="2">
        <v>0</v>
      </c>
      <c r="DP24" s="2">
        <v>0</v>
      </c>
      <c r="DQ24" s="9">
        <v>59636.8544083987</v>
      </c>
      <c r="DR24" s="1">
        <v>482.383078994203</v>
      </c>
      <c r="DS24" s="1">
        <v>59636.8544083987</v>
      </c>
      <c r="DT24" s="1">
        <v>482.383078994203</v>
      </c>
      <c r="DU24" s="1">
        <v>145893.70493137199</v>
      </c>
      <c r="DV24" s="1">
        <v>566.23832694011196</v>
      </c>
      <c r="DW24">
        <v>0</v>
      </c>
      <c r="DX24">
        <v>0</v>
      </c>
      <c r="DY24" s="2">
        <v>-144.63682127209299</v>
      </c>
      <c r="DZ24" s="2">
        <v>-17.383538436039601</v>
      </c>
      <c r="EA24" s="2">
        <v>0</v>
      </c>
      <c r="EB24" s="2">
        <v>0</v>
      </c>
      <c r="EC24" s="1">
        <v>43096.775315875297</v>
      </c>
      <c r="ED24" s="1">
        <v>363.15850853595998</v>
      </c>
      <c r="EE24" s="1">
        <v>44814.342676556102</v>
      </c>
      <c r="EF24" s="1">
        <v>352.374091044941</v>
      </c>
      <c r="EG24" s="1">
        <v>51316.731666000698</v>
      </c>
      <c r="EH24" s="1">
        <v>381.54609891111397</v>
      </c>
      <c r="EI24">
        <v>10</v>
      </c>
      <c r="EJ24">
        <v>7</v>
      </c>
      <c r="EK24" s="1">
        <v>13.9513105191983</v>
      </c>
      <c r="EL24" s="1">
        <v>20.9039214835934</v>
      </c>
      <c r="EM24" s="1">
        <v>27.734660482351</v>
      </c>
      <c r="EN24" s="1">
        <v>26.9513989214419</v>
      </c>
      <c r="EO24" s="1">
        <v>59636.8544083987</v>
      </c>
      <c r="EP24" s="1">
        <v>482.383078994203</v>
      </c>
      <c r="EQ24" s="1">
        <v>59636.8544083987</v>
      </c>
      <c r="ER24" s="1">
        <v>482.383078994203</v>
      </c>
      <c r="ES24" s="1">
        <v>151170.011219526</v>
      </c>
      <c r="ET24" s="1">
        <v>626.34549464757902</v>
      </c>
      <c r="EU24">
        <v>0</v>
      </c>
      <c r="EV24">
        <v>0</v>
      </c>
      <c r="EW24" s="2">
        <v>-153.48421327573601</v>
      </c>
      <c r="EX24" s="2">
        <v>-29.844001981484499</v>
      </c>
      <c r="EY24" s="2">
        <v>0</v>
      </c>
      <c r="EZ24" s="2">
        <v>0</v>
      </c>
      <c r="FA24" s="2"/>
      <c r="FB24" s="12"/>
    </row>
    <row r="25" spans="1:194" x14ac:dyDescent="0.3">
      <c r="A25" t="s">
        <v>38</v>
      </c>
      <c r="B25">
        <v>31</v>
      </c>
      <c r="D25">
        <v>16</v>
      </c>
      <c r="I25" t="s">
        <v>78</v>
      </c>
      <c r="J25" t="s">
        <v>79</v>
      </c>
      <c r="K25" s="16"/>
      <c r="Y25" s="1">
        <v>9346589.5612119902</v>
      </c>
      <c r="Z25" s="1">
        <v>2808.6230306309199</v>
      </c>
      <c r="AA25" s="1">
        <v>13151335.773364199</v>
      </c>
      <c r="AB25" s="1">
        <v>2708.6247253175802</v>
      </c>
      <c r="AC25" s="1">
        <v>9715736.7742157001</v>
      </c>
      <c r="AD25" s="1">
        <v>2864.4716138344302</v>
      </c>
      <c r="AE25">
        <v>14</v>
      </c>
      <c r="AF25">
        <v>3</v>
      </c>
      <c r="AG25" s="1">
        <v>59.752319873512597</v>
      </c>
      <c r="AH25" s="1">
        <v>11.451487691748101</v>
      </c>
      <c r="AI25" s="1">
        <v>61.2815213426165</v>
      </c>
      <c r="AJ25" s="1">
        <v>16.269133661562499</v>
      </c>
      <c r="AR25"/>
      <c r="AW25" s="9">
        <v>8534390.5479215309</v>
      </c>
      <c r="AX25" s="1">
        <v>3569.2552074832101</v>
      </c>
      <c r="AY25" s="1">
        <v>21122495.381645601</v>
      </c>
      <c r="AZ25" s="1">
        <v>3213.0854250720299</v>
      </c>
      <c r="BA25" s="1">
        <v>14187493.0216479</v>
      </c>
      <c r="BB25" s="1">
        <v>4048.6657805882201</v>
      </c>
      <c r="BC25">
        <v>9</v>
      </c>
      <c r="BD25">
        <v>1</v>
      </c>
      <c r="BE25" s="1">
        <v>41.227958908123703</v>
      </c>
      <c r="BF25" s="2">
        <v>-25.155135059800799</v>
      </c>
      <c r="BG25" s="1">
        <v>64.646075863351896</v>
      </c>
      <c r="BH25" s="1">
        <v>0.67489831794847999</v>
      </c>
      <c r="BI25" s="1">
        <v>8870890.8047301192</v>
      </c>
      <c r="BJ25" s="1">
        <v>3633.79330479489</v>
      </c>
      <c r="BK25" s="1">
        <v>15423233.6552605</v>
      </c>
      <c r="BL25" s="1">
        <v>3228.8379802240402</v>
      </c>
      <c r="BM25" s="1">
        <v>12000041.689638199</v>
      </c>
      <c r="BN25" s="1">
        <v>3991.7620652270798</v>
      </c>
      <c r="BO25">
        <v>11</v>
      </c>
      <c r="BP25">
        <v>2</v>
      </c>
      <c r="BQ25" s="1">
        <v>50.2895302072383</v>
      </c>
      <c r="BR25" s="2">
        <v>-23.396088359632301</v>
      </c>
      <c r="BS25" s="1">
        <v>63.252115218549903</v>
      </c>
      <c r="BT25" s="1">
        <v>0.187944522690941</v>
      </c>
      <c r="BU25" s="2"/>
      <c r="BV25" s="2"/>
      <c r="BW25" s="2"/>
      <c r="BX25" s="2"/>
      <c r="BY25" s="2"/>
      <c r="BZ25" s="2"/>
      <c r="CB25"/>
      <c r="CG25" s="10"/>
      <c r="CS25" s="2"/>
      <c r="CT25" s="2"/>
      <c r="CU25" s="2"/>
      <c r="CV25" s="2"/>
      <c r="CW25" s="2"/>
      <c r="CX25" s="2"/>
      <c r="DE25" s="1">
        <v>9768668.7509375196</v>
      </c>
      <c r="DF25" s="1">
        <v>5454.3495401621003</v>
      </c>
      <c r="DG25" s="1">
        <v>24139867.7978005</v>
      </c>
      <c r="DH25" s="1">
        <v>3234.9178311011501</v>
      </c>
      <c r="DI25" s="1">
        <v>13168875.864626899</v>
      </c>
      <c r="DJ25" s="1">
        <v>5542.6390641010803</v>
      </c>
      <c r="DK25">
        <v>11</v>
      </c>
      <c r="DL25">
        <v>0</v>
      </c>
      <c r="DM25" s="1">
        <v>45.447605699701597</v>
      </c>
      <c r="DN25" s="2">
        <v>-71.3378624586082</v>
      </c>
      <c r="DO25" s="1">
        <v>59.533047849468403</v>
      </c>
      <c r="DP25" s="2">
        <v>0</v>
      </c>
      <c r="DQ25" s="26">
        <v>10583628.210109601</v>
      </c>
      <c r="DR25" s="1">
        <v>3616.8230510001999</v>
      </c>
      <c r="DS25" s="1">
        <v>19799417.017418802</v>
      </c>
      <c r="DT25" s="1">
        <v>3226.0855016764399</v>
      </c>
      <c r="DU25" s="1">
        <v>17127528.7224828</v>
      </c>
      <c r="DV25" s="1">
        <v>4225.8286088791201</v>
      </c>
      <c r="DW25">
        <v>8</v>
      </c>
      <c r="DX25">
        <v>1</v>
      </c>
      <c r="DY25" s="1">
        <v>29.048788228892398</v>
      </c>
      <c r="DZ25" s="2">
        <v>-30.6317139882552</v>
      </c>
      <c r="EA25" s="1">
        <v>56.157058113325903</v>
      </c>
      <c r="EB25" s="1">
        <v>0.27303102847919802</v>
      </c>
      <c r="EC25" s="1">
        <v>9480641.6061448008</v>
      </c>
      <c r="ED25" s="1">
        <v>3326.2285165006101</v>
      </c>
      <c r="EE25" s="1">
        <v>16325604.6057999</v>
      </c>
      <c r="EF25" s="1">
        <v>2735.4705365811001</v>
      </c>
      <c r="EG25" s="1">
        <v>10095408.0972479</v>
      </c>
      <c r="EH25" s="1">
        <v>3333.2930621371602</v>
      </c>
      <c r="EI25">
        <v>14</v>
      </c>
      <c r="EJ25">
        <v>1</v>
      </c>
      <c r="EK25" s="1">
        <v>58.179522018062599</v>
      </c>
      <c r="EL25" s="2">
        <v>-3.04104265308424</v>
      </c>
      <c r="EM25" s="1">
        <v>60.726207427661997</v>
      </c>
      <c r="EN25" s="1">
        <v>15.4392575204928</v>
      </c>
      <c r="EO25" s="1">
        <v>10484000.5376282</v>
      </c>
      <c r="EP25" s="1">
        <v>5575.7844201922799</v>
      </c>
      <c r="EQ25" s="1">
        <v>24139867.7978005</v>
      </c>
      <c r="ER25" s="1">
        <v>3234.9178311011501</v>
      </c>
      <c r="ES25" s="1">
        <v>13832829.7203045</v>
      </c>
      <c r="ET25" s="1">
        <v>5665.8211934889196</v>
      </c>
      <c r="EU25">
        <v>11</v>
      </c>
      <c r="EV25">
        <v>0</v>
      </c>
      <c r="EW25" s="1">
        <v>42.6971604145863</v>
      </c>
      <c r="EX25" s="2">
        <v>-75.145752977605099</v>
      </c>
      <c r="EY25" s="1">
        <v>56.569768213132001</v>
      </c>
      <c r="EZ25" s="2">
        <v>0</v>
      </c>
      <c r="FA25" s="2"/>
      <c r="FB25" s="12"/>
    </row>
    <row r="26" spans="1:194" s="6" customFormat="1" x14ac:dyDescent="0.3">
      <c r="K26"/>
      <c r="Q26" s="6">
        <f t="shared" ref="Q26:V26" si="0">AVERAGE(Q4:Q25)</f>
        <v>6.35</v>
      </c>
      <c r="R26" s="6">
        <f t="shared" si="0"/>
        <v>4.55</v>
      </c>
      <c r="S26" s="6">
        <f t="shared" si="0"/>
        <v>-5.6477655797357142</v>
      </c>
      <c r="T26" s="6">
        <f t="shared" si="0"/>
        <v>-6.3060125509673046</v>
      </c>
      <c r="U26" s="6">
        <f t="shared" si="0"/>
        <v>44.397128297659407</v>
      </c>
      <c r="V26" s="6">
        <f t="shared" si="0"/>
        <v>2.8229222523618844</v>
      </c>
      <c r="AE26" s="6">
        <f t="shared" ref="AE26:AJ26" si="1">AVERAGE(AE4:AE25)</f>
        <v>8.5909090909090917</v>
      </c>
      <c r="AF26" s="6">
        <f t="shared" si="1"/>
        <v>8.3181818181818183</v>
      </c>
      <c r="AG26" s="6">
        <f t="shared" si="1"/>
        <v>40.439780394979771</v>
      </c>
      <c r="AH26" s="6">
        <f t="shared" si="1"/>
        <v>9.7096637217398563</v>
      </c>
      <c r="AI26" s="6">
        <f t="shared" si="1"/>
        <v>55.423737385769485</v>
      </c>
      <c r="AJ26" s="6">
        <f t="shared" si="1"/>
        <v>12.658654773907944</v>
      </c>
      <c r="AQ26" s="6">
        <f t="shared" ref="AQ26:AV26" si="2">AVERAGE(AQ4:AQ25)</f>
        <v>8.9047619047619051</v>
      </c>
      <c r="AR26" s="6">
        <f t="shared" si="2"/>
        <v>8.5714285714285712</v>
      </c>
      <c r="AS26" s="6">
        <f t="shared" si="2"/>
        <v>-223.05743844633557</v>
      </c>
      <c r="AT26" s="6">
        <f t="shared" si="2"/>
        <v>5.4043583399949693</v>
      </c>
      <c r="AU26" s="6">
        <f t="shared" si="2"/>
        <v>53.043073412372692</v>
      </c>
      <c r="AV26" s="6">
        <f t="shared" si="2"/>
        <v>9.4130240727579739</v>
      </c>
      <c r="AW26" s="11"/>
      <c r="BC26" s="6">
        <f t="shared" ref="BC26:BH26" si="3">AVERAGE(BC4:BC25)</f>
        <v>6.5714285714285712</v>
      </c>
      <c r="BD26" s="6">
        <f t="shared" si="3"/>
        <v>4.1904761904761907</v>
      </c>
      <c r="BE26" s="6">
        <f t="shared" si="3"/>
        <v>0.76651693491220829</v>
      </c>
      <c r="BF26" s="6">
        <f t="shared" si="3"/>
        <v>-6.6450954859109128</v>
      </c>
      <c r="BG26" s="6">
        <f t="shared" si="3"/>
        <v>47.141485340541273</v>
      </c>
      <c r="BH26" s="6">
        <f t="shared" si="3"/>
        <v>3.663267406213345</v>
      </c>
      <c r="BO26" s="6">
        <f t="shared" ref="BO26:BT26" si="4">AVERAGE(BO4:BO25)</f>
        <v>8.7142857142857135</v>
      </c>
      <c r="BP26" s="6">
        <f t="shared" si="4"/>
        <v>5.8571428571428568</v>
      </c>
      <c r="BQ26" s="6">
        <f t="shared" si="4"/>
        <v>39.732376293897993</v>
      </c>
      <c r="BR26" s="6">
        <f t="shared" si="4"/>
        <v>-8.7762886438604806</v>
      </c>
      <c r="BS26" s="6">
        <f t="shared" si="4"/>
        <v>55.277695216693289</v>
      </c>
      <c r="BT26" s="6">
        <f t="shared" si="4"/>
        <v>5.0872879859785387</v>
      </c>
      <c r="CA26" s="6">
        <f t="shared" ref="CA26:CF26" si="5">AVERAGE(CA4:CA25)</f>
        <v>9.0952380952380949</v>
      </c>
      <c r="CB26" s="6">
        <f t="shared" si="5"/>
        <v>5.666666666666667</v>
      </c>
      <c r="CC26" s="6">
        <f t="shared" si="5"/>
        <v>33.275692830607056</v>
      </c>
      <c r="CD26" s="6">
        <f t="shared" si="5"/>
        <v>-1.3645437121129322</v>
      </c>
      <c r="CE26" s="6">
        <f t="shared" si="5"/>
        <v>51.837746240034015</v>
      </c>
      <c r="CF26" s="6">
        <f t="shared" si="5"/>
        <v>3.9448042405232422</v>
      </c>
      <c r="CG26" s="11"/>
      <c r="CM26" s="6">
        <f t="shared" ref="CM26:CR26" si="6">AVERAGE(CM4:CM25)</f>
        <v>6.7619047619047619</v>
      </c>
      <c r="CN26" s="6">
        <f t="shared" si="6"/>
        <v>2.6666666666666665</v>
      </c>
      <c r="CO26" s="6">
        <f t="shared" si="6"/>
        <v>-13.459572785492261</v>
      </c>
      <c r="CP26" s="6">
        <f t="shared" si="6"/>
        <v>-10.283776838589649</v>
      </c>
      <c r="CQ26" s="6">
        <f t="shared" si="6"/>
        <v>45.691162513767374</v>
      </c>
      <c r="CR26" s="6">
        <f t="shared" si="6"/>
        <v>1.806048235061223</v>
      </c>
      <c r="CY26" s="6">
        <f t="shared" ref="CY26:DD26" si="7">AVERAGE(CY4:CY25)</f>
        <v>9.8000000000000007</v>
      </c>
      <c r="CZ26" s="6">
        <f t="shared" si="7"/>
        <v>9.4499999999999993</v>
      </c>
      <c r="DA26" s="6">
        <f t="shared" si="7"/>
        <v>32.15704819007636</v>
      </c>
      <c r="DB26" s="6">
        <f t="shared" si="7"/>
        <v>12.619150131104394</v>
      </c>
      <c r="DC26" s="6">
        <f t="shared" si="7"/>
        <v>54.986539071972899</v>
      </c>
      <c r="DD26" s="6">
        <f t="shared" si="7"/>
        <v>14.150666447131602</v>
      </c>
      <c r="DK26" s="6">
        <f t="shared" ref="DK26:DP26" si="8">AVERAGE(DK4:DK25)</f>
        <v>8.8636363636363633</v>
      </c>
      <c r="DL26" s="6">
        <f t="shared" si="8"/>
        <v>8.3181818181818183</v>
      </c>
      <c r="DM26" s="6">
        <f t="shared" si="8"/>
        <v>23.147866593745615</v>
      </c>
      <c r="DN26" s="6">
        <f t="shared" si="8"/>
        <v>3.0430744679493715</v>
      </c>
      <c r="DO26" s="6">
        <f t="shared" si="8"/>
        <v>51.245052068193985</v>
      </c>
      <c r="DP26" s="6">
        <f t="shared" si="8"/>
        <v>8.7685694724591929</v>
      </c>
      <c r="DQ26" s="11"/>
      <c r="DW26" s="6">
        <f t="shared" ref="DW26:EB26" si="9">AVERAGE(DW4:DW25)</f>
        <v>5.8421052631578947</v>
      </c>
      <c r="DX26" s="6">
        <f t="shared" si="9"/>
        <v>3.3157894736842106</v>
      </c>
      <c r="DY26" s="6">
        <f t="shared" si="9"/>
        <v>-22.91784086653195</v>
      </c>
      <c r="DZ26" s="6">
        <f t="shared" si="9"/>
        <v>-9.8540669385721245</v>
      </c>
      <c r="EA26" s="6">
        <f t="shared" si="9"/>
        <v>42.217156080341219</v>
      </c>
      <c r="EB26" s="6">
        <f t="shared" si="9"/>
        <v>1.5926033480137503</v>
      </c>
      <c r="EI26" s="6">
        <f t="shared" ref="EI26:EN26" si="10">AVERAGE(EI4:EI25)</f>
        <v>8.3809523809523814</v>
      </c>
      <c r="EJ26" s="6">
        <f t="shared" si="10"/>
        <v>7.8571428571428568</v>
      </c>
      <c r="EK26" s="6">
        <f t="shared" si="10"/>
        <v>35.20940121009717</v>
      </c>
      <c r="EL26" s="6">
        <f t="shared" si="10"/>
        <v>8.6419893121444833</v>
      </c>
      <c r="EM26" s="6">
        <f t="shared" si="10"/>
        <v>56.388780222842698</v>
      </c>
      <c r="EN26" s="6">
        <f t="shared" si="10"/>
        <v>13.088908709192744</v>
      </c>
      <c r="EU26" s="6">
        <f t="shared" ref="EU26:EZ26" si="11">AVERAGE(EU4:EU25)</f>
        <v>8.2272727272727266</v>
      </c>
      <c r="EV26" s="6">
        <f t="shared" si="11"/>
        <v>4.9090909090909092</v>
      </c>
      <c r="EW26" s="6">
        <f t="shared" si="11"/>
        <v>-12.628337411455288</v>
      </c>
      <c r="EX26" s="6">
        <f t="shared" si="11"/>
        <v>-4.2775720398322941</v>
      </c>
      <c r="EY26" s="6">
        <f t="shared" si="11"/>
        <v>48.369135157693968</v>
      </c>
      <c r="EZ26" s="6">
        <f t="shared" si="11"/>
        <v>7.1193173282178925</v>
      </c>
      <c r="FB26" s="11"/>
      <c r="FI26" s="6">
        <f t="shared" ref="FI26:FN26" si="12">AVERAGE(FI4:FI25)</f>
        <v>6.3636363636363633</v>
      </c>
      <c r="FJ26" s="6">
        <f t="shared" si="12"/>
        <v>1.3636363636363635</v>
      </c>
      <c r="FK26" s="6">
        <f t="shared" si="12"/>
        <v>-24698.287646488167</v>
      </c>
      <c r="FL26" s="6">
        <f t="shared" si="12"/>
        <v>-13.180752345605809</v>
      </c>
      <c r="FM26" s="6">
        <f t="shared" si="12"/>
        <v>31.445755964131276</v>
      </c>
      <c r="FN26" s="6">
        <f t="shared" si="12"/>
        <v>1.3025099931351602</v>
      </c>
      <c r="FU26" s="6">
        <f t="shared" ref="FU26:FZ26" si="13">AVERAGE(FU4:FU25)</f>
        <v>9.1999999999999993</v>
      </c>
      <c r="FV26" s="6">
        <f t="shared" si="13"/>
        <v>3.8666666666666667</v>
      </c>
      <c r="FW26" s="6">
        <f t="shared" si="13"/>
        <v>-123.69330695574695</v>
      </c>
      <c r="FX26" s="6">
        <f t="shared" si="13"/>
        <v>0.16752662829177467</v>
      </c>
      <c r="FY26" s="6">
        <f t="shared" si="13"/>
        <v>50.504698489128558</v>
      </c>
      <c r="FZ26" s="6">
        <f t="shared" si="13"/>
        <v>5.6349562940793909</v>
      </c>
      <c r="GG26" s="6">
        <f t="shared" ref="GG26:GL26" si="14">AVERAGE(GG4:GG25)</f>
        <v>6.333333333333333</v>
      </c>
      <c r="GH26" s="6">
        <f t="shared" si="14"/>
        <v>1.9333333333333333</v>
      </c>
      <c r="GI26" s="6">
        <f t="shared" si="14"/>
        <v>-2057.4406516906602</v>
      </c>
      <c r="GJ26" s="6">
        <f t="shared" si="14"/>
        <v>-3.1680569829254148</v>
      </c>
      <c r="GK26" s="6">
        <f t="shared" si="14"/>
        <v>29.089560251130827</v>
      </c>
      <c r="GL26" s="6">
        <f t="shared" si="14"/>
        <v>4.1596585080570954</v>
      </c>
    </row>
    <row r="27" spans="1:194" x14ac:dyDescent="0.3">
      <c r="AR27"/>
    </row>
    <row r="28" spans="1:194" x14ac:dyDescent="0.3">
      <c r="AR28"/>
    </row>
    <row r="29" spans="1:194" x14ac:dyDescent="0.3">
      <c r="AR29"/>
    </row>
    <row r="30" spans="1:194" x14ac:dyDescent="0.3">
      <c r="C30" s="18" t="s">
        <v>48</v>
      </c>
      <c r="AR30"/>
    </row>
    <row r="31" spans="1:194" ht="87" thickBot="1" x14ac:dyDescent="0.35">
      <c r="A31" s="20" t="s">
        <v>45</v>
      </c>
      <c r="B31" s="20" t="s">
        <v>46</v>
      </c>
      <c r="C31" s="21" t="s">
        <v>11</v>
      </c>
      <c r="D31" s="22" t="s">
        <v>12</v>
      </c>
      <c r="E31" s="22" t="s">
        <v>13</v>
      </c>
      <c r="F31" s="22" t="s">
        <v>14</v>
      </c>
      <c r="G31" s="22" t="s">
        <v>15</v>
      </c>
      <c r="H31" s="22" t="s">
        <v>16</v>
      </c>
      <c r="J31" s="22" t="s">
        <v>97</v>
      </c>
      <c r="K31" s="22" t="s">
        <v>98</v>
      </c>
      <c r="AR31"/>
    </row>
    <row r="32" spans="1:194" x14ac:dyDescent="0.3">
      <c r="A32" t="s">
        <v>39</v>
      </c>
      <c r="B32" t="s">
        <v>9</v>
      </c>
      <c r="C32" s="12">
        <f>Q26</f>
        <v>6.35</v>
      </c>
      <c r="D32" s="2">
        <f t="shared" ref="D32:H32" si="15">R26</f>
        <v>4.55</v>
      </c>
      <c r="E32" s="2">
        <f t="shared" si="15"/>
        <v>-5.6477655797357142</v>
      </c>
      <c r="F32" s="2">
        <f t="shared" si="15"/>
        <v>-6.3060125509673046</v>
      </c>
      <c r="G32" s="2">
        <f t="shared" si="15"/>
        <v>44.397128297659407</v>
      </c>
      <c r="H32" s="2">
        <f t="shared" si="15"/>
        <v>2.8229222523618844</v>
      </c>
      <c r="J32" s="2">
        <f>SUM(G32:G34)</f>
        <v>152.86393909580158</v>
      </c>
      <c r="K32" s="2">
        <f>SUM(H32:H34)</f>
        <v>24.894601099027803</v>
      </c>
      <c r="AR32"/>
    </row>
    <row r="33" spans="1:44" x14ac:dyDescent="0.3">
      <c r="A33" t="s">
        <v>39</v>
      </c>
      <c r="B33" t="s">
        <v>10</v>
      </c>
      <c r="C33" s="12">
        <f t="shared" ref="C33:H33" si="16">AE26</f>
        <v>8.5909090909090917</v>
      </c>
      <c r="D33" s="2">
        <f t="shared" si="16"/>
        <v>8.3181818181818183</v>
      </c>
      <c r="E33" s="19">
        <f t="shared" si="16"/>
        <v>40.439780394979771</v>
      </c>
      <c r="F33" s="19">
        <f t="shared" si="16"/>
        <v>9.7096637217398563</v>
      </c>
      <c r="G33" s="19">
        <f t="shared" si="16"/>
        <v>55.423737385769485</v>
      </c>
      <c r="H33" s="19">
        <f t="shared" si="16"/>
        <v>12.658654773907944</v>
      </c>
      <c r="AR33"/>
    </row>
    <row r="34" spans="1:44" x14ac:dyDescent="0.3">
      <c r="A34" s="15" t="s">
        <v>39</v>
      </c>
      <c r="B34" s="15" t="s">
        <v>47</v>
      </c>
      <c r="C34" s="23">
        <f t="shared" ref="C34:H34" si="17">AQ26</f>
        <v>8.9047619047619051</v>
      </c>
      <c r="D34" s="24">
        <f t="shared" si="17"/>
        <v>8.5714285714285712</v>
      </c>
      <c r="E34" s="24">
        <f t="shared" si="17"/>
        <v>-223.05743844633557</v>
      </c>
      <c r="F34" s="24">
        <f t="shared" si="17"/>
        <v>5.4043583399949693</v>
      </c>
      <c r="G34" s="24">
        <f t="shared" si="17"/>
        <v>53.043073412372692</v>
      </c>
      <c r="H34" s="24">
        <f t="shared" si="17"/>
        <v>9.4130240727579739</v>
      </c>
      <c r="AR34"/>
    </row>
    <row r="35" spans="1:44" x14ac:dyDescent="0.3">
      <c r="A35" t="s">
        <v>43</v>
      </c>
      <c r="B35" t="s">
        <v>9</v>
      </c>
      <c r="C35" s="12">
        <f t="shared" ref="C35:H35" si="18">BC26</f>
        <v>6.5714285714285712</v>
      </c>
      <c r="D35" s="2">
        <f t="shared" si="18"/>
        <v>4.1904761904761907</v>
      </c>
      <c r="E35" s="2">
        <f t="shared" si="18"/>
        <v>0.76651693491220829</v>
      </c>
      <c r="F35" s="2">
        <f t="shared" si="18"/>
        <v>-6.6450954859109128</v>
      </c>
      <c r="G35" s="2">
        <f t="shared" si="18"/>
        <v>47.141485340541273</v>
      </c>
      <c r="H35" s="2">
        <f t="shared" si="18"/>
        <v>3.663267406213345</v>
      </c>
      <c r="J35" s="2">
        <f t="shared" ref="J35:K35" si="19">SUM(G35:G37)</f>
        <v>154.25692679726859</v>
      </c>
      <c r="K35" s="2">
        <f t="shared" si="19"/>
        <v>12.695359632715126</v>
      </c>
      <c r="AR35"/>
    </row>
    <row r="36" spans="1:44" x14ac:dyDescent="0.3">
      <c r="A36" t="s">
        <v>43</v>
      </c>
      <c r="B36" t="s">
        <v>10</v>
      </c>
      <c r="C36" s="12">
        <f t="shared" ref="C36:H36" si="20">BO26</f>
        <v>8.7142857142857135</v>
      </c>
      <c r="D36" s="2">
        <f t="shared" si="20"/>
        <v>5.8571428571428568</v>
      </c>
      <c r="E36" s="19">
        <f t="shared" si="20"/>
        <v>39.732376293897993</v>
      </c>
      <c r="F36" s="2">
        <f t="shared" si="20"/>
        <v>-8.7762886438604806</v>
      </c>
      <c r="G36" s="19">
        <f t="shared" si="20"/>
        <v>55.277695216693289</v>
      </c>
      <c r="H36" s="19">
        <f t="shared" si="20"/>
        <v>5.0872879859785387</v>
      </c>
      <c r="AR36"/>
    </row>
    <row r="37" spans="1:44" x14ac:dyDescent="0.3">
      <c r="A37" s="15" t="s">
        <v>43</v>
      </c>
      <c r="B37" s="15" t="s">
        <v>47</v>
      </c>
      <c r="C37" s="23">
        <f t="shared" ref="C37:H37" si="21">CA26</f>
        <v>9.0952380952380949</v>
      </c>
      <c r="D37" s="24">
        <f t="shared" si="21"/>
        <v>5.666666666666667</v>
      </c>
      <c r="E37" s="24">
        <f t="shared" si="21"/>
        <v>33.275692830607056</v>
      </c>
      <c r="F37" s="25">
        <f t="shared" si="21"/>
        <v>-1.3645437121129322</v>
      </c>
      <c r="G37" s="24">
        <f t="shared" si="21"/>
        <v>51.837746240034015</v>
      </c>
      <c r="H37" s="24">
        <f t="shared" si="21"/>
        <v>3.9448042405232422</v>
      </c>
      <c r="AR37"/>
    </row>
    <row r="38" spans="1:44" x14ac:dyDescent="0.3">
      <c r="A38" t="s">
        <v>44</v>
      </c>
      <c r="B38" t="s">
        <v>9</v>
      </c>
      <c r="C38" s="12">
        <f t="shared" ref="C38:H38" si="22">BC26</f>
        <v>6.5714285714285712</v>
      </c>
      <c r="D38" s="2">
        <f t="shared" si="22"/>
        <v>4.1904761904761907</v>
      </c>
      <c r="E38" s="2">
        <f t="shared" si="22"/>
        <v>0.76651693491220829</v>
      </c>
      <c r="F38" s="2">
        <f t="shared" si="22"/>
        <v>-6.6450954859109128</v>
      </c>
      <c r="G38" s="2">
        <f t="shared" si="22"/>
        <v>47.141485340541273</v>
      </c>
      <c r="H38" s="2">
        <f t="shared" si="22"/>
        <v>3.663267406213345</v>
      </c>
      <c r="J38" s="2">
        <f t="shared" ref="J38:K38" si="23">SUM(G38:G40)</f>
        <v>153.37307648070816</v>
      </c>
      <c r="K38" s="2">
        <f t="shared" si="23"/>
        <v>26.58250332580414</v>
      </c>
      <c r="AR38"/>
    </row>
    <row r="39" spans="1:44" x14ac:dyDescent="0.3">
      <c r="A39" t="s">
        <v>44</v>
      </c>
      <c r="B39" t="s">
        <v>10</v>
      </c>
      <c r="C39" s="12">
        <f t="shared" ref="C39:H39" si="24">CY26</f>
        <v>9.8000000000000007</v>
      </c>
      <c r="D39" s="2">
        <f t="shared" si="24"/>
        <v>9.4499999999999993</v>
      </c>
      <c r="E39" s="19">
        <f t="shared" si="24"/>
        <v>32.15704819007636</v>
      </c>
      <c r="F39" s="19">
        <f t="shared" si="24"/>
        <v>12.619150131104394</v>
      </c>
      <c r="G39" s="19">
        <f t="shared" si="24"/>
        <v>54.986539071972899</v>
      </c>
      <c r="H39" s="19">
        <f t="shared" si="24"/>
        <v>14.150666447131602</v>
      </c>
      <c r="AR39"/>
    </row>
    <row r="40" spans="1:44" x14ac:dyDescent="0.3">
      <c r="A40" s="15" t="s">
        <v>44</v>
      </c>
      <c r="B40" s="15" t="s">
        <v>47</v>
      </c>
      <c r="C40" s="12">
        <f t="shared" ref="C40:H40" si="25">DK26</f>
        <v>8.8636363636363633</v>
      </c>
      <c r="D40" s="2">
        <f t="shared" si="25"/>
        <v>8.3181818181818183</v>
      </c>
      <c r="E40" s="2">
        <f t="shared" si="25"/>
        <v>23.147866593745615</v>
      </c>
      <c r="F40" s="2">
        <f t="shared" si="25"/>
        <v>3.0430744679493715</v>
      </c>
      <c r="G40" s="2">
        <f t="shared" si="25"/>
        <v>51.245052068193985</v>
      </c>
      <c r="H40" s="2">
        <f t="shared" si="25"/>
        <v>8.7685694724591929</v>
      </c>
      <c r="AR40"/>
    </row>
    <row r="41" spans="1:44" x14ac:dyDescent="0.3">
      <c r="A41" t="s">
        <v>49</v>
      </c>
      <c r="B41" t="s">
        <v>9</v>
      </c>
      <c r="C41" s="28">
        <f t="shared" ref="C41:H41" si="26">DW26</f>
        <v>5.8421052631578947</v>
      </c>
      <c r="D41" s="29">
        <f t="shared" si="26"/>
        <v>3.3157894736842106</v>
      </c>
      <c r="E41" s="29">
        <f t="shared" si="26"/>
        <v>-22.91784086653195</v>
      </c>
      <c r="F41" s="29">
        <f t="shared" si="26"/>
        <v>-9.8540669385721245</v>
      </c>
      <c r="G41" s="29">
        <f t="shared" si="26"/>
        <v>42.217156080341219</v>
      </c>
      <c r="H41" s="29">
        <f t="shared" si="26"/>
        <v>1.5926033480137503</v>
      </c>
      <c r="J41" s="2">
        <f t="shared" ref="J41:K41" si="27">SUM(G41:G43)</f>
        <v>146.97507146087787</v>
      </c>
      <c r="K41" s="2">
        <f t="shared" si="27"/>
        <v>21.800829385424386</v>
      </c>
      <c r="AR41"/>
    </row>
    <row r="42" spans="1:44" x14ac:dyDescent="0.3">
      <c r="A42" t="s">
        <v>49</v>
      </c>
      <c r="B42" t="s">
        <v>10</v>
      </c>
      <c r="C42" s="12">
        <f t="shared" ref="C42:H42" si="28">EI26</f>
        <v>8.3809523809523814</v>
      </c>
      <c r="D42" s="2">
        <f t="shared" si="28"/>
        <v>7.8571428571428568</v>
      </c>
      <c r="E42" s="19">
        <f t="shared" si="28"/>
        <v>35.20940121009717</v>
      </c>
      <c r="F42" s="19">
        <f t="shared" si="28"/>
        <v>8.6419893121444833</v>
      </c>
      <c r="G42" s="19">
        <f t="shared" si="28"/>
        <v>56.388780222842698</v>
      </c>
      <c r="H42" s="19">
        <f t="shared" si="28"/>
        <v>13.088908709192744</v>
      </c>
      <c r="AR42"/>
    </row>
    <row r="43" spans="1:44" x14ac:dyDescent="0.3">
      <c r="A43" s="15" t="s">
        <v>49</v>
      </c>
      <c r="B43" s="15" t="s">
        <v>47</v>
      </c>
      <c r="C43" s="23">
        <f t="shared" ref="C43:H43" si="29">EU26</f>
        <v>8.2272727272727266</v>
      </c>
      <c r="D43" s="2">
        <f t="shared" si="29"/>
        <v>4.9090909090909092</v>
      </c>
      <c r="E43" s="2">
        <f t="shared" si="29"/>
        <v>-12.628337411455288</v>
      </c>
      <c r="F43" s="2">
        <f t="shared" si="29"/>
        <v>-4.2775720398322941</v>
      </c>
      <c r="G43" s="2">
        <f t="shared" si="29"/>
        <v>48.369135157693968</v>
      </c>
      <c r="H43" s="2">
        <f t="shared" si="29"/>
        <v>7.1193173282178925</v>
      </c>
      <c r="AR43"/>
    </row>
    <row r="44" spans="1:44" x14ac:dyDescent="0.3">
      <c r="A44" t="s">
        <v>93</v>
      </c>
      <c r="B44" t="s">
        <v>9</v>
      </c>
      <c r="C44" s="28">
        <f t="shared" ref="C44:H44" si="30">FI26</f>
        <v>6.3636363636363633</v>
      </c>
      <c r="D44" s="29">
        <f t="shared" si="30"/>
        <v>1.3636363636363635</v>
      </c>
      <c r="E44" s="29">
        <f t="shared" si="30"/>
        <v>-24698.287646488167</v>
      </c>
      <c r="F44" s="29">
        <f t="shared" si="30"/>
        <v>-13.180752345605809</v>
      </c>
      <c r="G44" s="29">
        <f t="shared" si="30"/>
        <v>31.445755964131276</v>
      </c>
      <c r="H44" s="29">
        <f t="shared" si="30"/>
        <v>1.3025099931351602</v>
      </c>
      <c r="J44" s="2">
        <f t="shared" ref="J44" si="31">SUM(G44:G46)</f>
        <v>111.04001470439067</v>
      </c>
      <c r="K44" s="2">
        <f t="shared" ref="K44" si="32">SUM(H44:H46)</f>
        <v>11.097124795271647</v>
      </c>
      <c r="AR44"/>
    </row>
    <row r="45" spans="1:44" x14ac:dyDescent="0.3">
      <c r="A45" t="s">
        <v>93</v>
      </c>
      <c r="B45" t="s">
        <v>10</v>
      </c>
      <c r="C45" s="12">
        <f>FU26</f>
        <v>9.1999999999999993</v>
      </c>
      <c r="D45" s="2">
        <f t="shared" ref="D45:H45" si="33">FV26</f>
        <v>3.8666666666666667</v>
      </c>
      <c r="E45" s="19">
        <f t="shared" si="33"/>
        <v>-123.69330695574695</v>
      </c>
      <c r="F45" s="19">
        <f t="shared" si="33"/>
        <v>0.16752662829177467</v>
      </c>
      <c r="G45" s="19">
        <f t="shared" si="33"/>
        <v>50.504698489128558</v>
      </c>
      <c r="H45" s="19">
        <f t="shared" si="33"/>
        <v>5.6349562940793909</v>
      </c>
      <c r="AR45"/>
    </row>
    <row r="46" spans="1:44" x14ac:dyDescent="0.3">
      <c r="A46" s="15" t="s">
        <v>93</v>
      </c>
      <c r="B46" s="15" t="s">
        <v>47</v>
      </c>
      <c r="C46" s="23">
        <f>GG26</f>
        <v>6.333333333333333</v>
      </c>
      <c r="D46" s="24">
        <f t="shared" ref="D46:H46" si="34">GH26</f>
        <v>1.9333333333333333</v>
      </c>
      <c r="E46" s="24">
        <f t="shared" si="34"/>
        <v>-2057.4406516906602</v>
      </c>
      <c r="F46" s="24">
        <f t="shared" si="34"/>
        <v>-3.1680569829254148</v>
      </c>
      <c r="G46" s="24">
        <f t="shared" si="34"/>
        <v>29.089560251130827</v>
      </c>
      <c r="H46" s="24">
        <f t="shared" si="34"/>
        <v>4.1596585080570954</v>
      </c>
      <c r="AR46"/>
    </row>
    <row r="47" spans="1:44" x14ac:dyDescent="0.3">
      <c r="AR47"/>
    </row>
    <row r="48" spans="1:44" x14ac:dyDescent="0.3">
      <c r="AR48"/>
    </row>
    <row r="49" spans="44:44" x14ac:dyDescent="0.3">
      <c r="AR49"/>
    </row>
    <row r="50" spans="44:44" x14ac:dyDescent="0.3">
      <c r="AR50"/>
    </row>
    <row r="51" spans="44:44" x14ac:dyDescent="0.3">
      <c r="AR51"/>
    </row>
    <row r="52" spans="44:44" x14ac:dyDescent="0.3">
      <c r="AR52"/>
    </row>
    <row r="53" spans="44:44" x14ac:dyDescent="0.3">
      <c r="AR53"/>
    </row>
    <row r="54" spans="44:44" x14ac:dyDescent="0.3">
      <c r="AR54"/>
    </row>
    <row r="55" spans="44:44" x14ac:dyDescent="0.3">
      <c r="AR55"/>
    </row>
    <row r="56" spans="44:44" x14ac:dyDescent="0.3">
      <c r="AR56"/>
    </row>
    <row r="57" spans="44:44" x14ac:dyDescent="0.3">
      <c r="AR57"/>
    </row>
    <row r="58" spans="44:44" x14ac:dyDescent="0.3">
      <c r="AR58"/>
    </row>
    <row r="59" spans="44:44" x14ac:dyDescent="0.3">
      <c r="AR59"/>
    </row>
    <row r="60" spans="44:44" x14ac:dyDescent="0.3">
      <c r="AR60"/>
    </row>
    <row r="61" spans="44:44" x14ac:dyDescent="0.3">
      <c r="AR61"/>
    </row>
    <row r="62" spans="44:44" x14ac:dyDescent="0.3">
      <c r="AR62"/>
    </row>
    <row r="63" spans="44:44" x14ac:dyDescent="0.3">
      <c r="AR63"/>
    </row>
    <row r="64" spans="44:44" x14ac:dyDescent="0.3">
      <c r="AR64"/>
    </row>
    <row r="65" spans="44:44" x14ac:dyDescent="0.3">
      <c r="AR65"/>
    </row>
    <row r="66" spans="44:44" x14ac:dyDescent="0.3">
      <c r="AR66"/>
    </row>
    <row r="67" spans="44:44" x14ac:dyDescent="0.3">
      <c r="AR67"/>
    </row>
    <row r="68" spans="44:44" x14ac:dyDescent="0.3">
      <c r="AR68"/>
    </row>
    <row r="69" spans="44:44" x14ac:dyDescent="0.3">
      <c r="AR69"/>
    </row>
    <row r="70" spans="44:44" x14ac:dyDescent="0.3">
      <c r="AR70"/>
    </row>
    <row r="71" spans="44:44" x14ac:dyDescent="0.3">
      <c r="AR71"/>
    </row>
    <row r="72" spans="44:44" x14ac:dyDescent="0.3">
      <c r="AR72"/>
    </row>
    <row r="73" spans="44:44" x14ac:dyDescent="0.3">
      <c r="AR73"/>
    </row>
    <row r="74" spans="44:44" x14ac:dyDescent="0.3">
      <c r="AR74"/>
    </row>
    <row r="75" spans="44:44" x14ac:dyDescent="0.3">
      <c r="AR75"/>
    </row>
    <row r="76" spans="44:44" x14ac:dyDescent="0.3">
      <c r="AR76"/>
    </row>
    <row r="77" spans="44:44" x14ac:dyDescent="0.3">
      <c r="AR77"/>
    </row>
    <row r="78" spans="44:44" x14ac:dyDescent="0.3">
      <c r="AR78"/>
    </row>
    <row r="79" spans="44:44" x14ac:dyDescent="0.3">
      <c r="AR79"/>
    </row>
    <row r="80" spans="44:44" x14ac:dyDescent="0.3">
      <c r="AR80"/>
    </row>
    <row r="81" spans="44:44" x14ac:dyDescent="0.3">
      <c r="AR81"/>
    </row>
    <row r="82" spans="44:44" x14ac:dyDescent="0.3">
      <c r="AR82"/>
    </row>
    <row r="83" spans="44:44" x14ac:dyDescent="0.3">
      <c r="AR83"/>
    </row>
    <row r="84" spans="44:44" x14ac:dyDescent="0.3">
      <c r="AR84"/>
    </row>
    <row r="85" spans="44:44" x14ac:dyDescent="0.3">
      <c r="AR85"/>
    </row>
    <row r="86" spans="44:44" x14ac:dyDescent="0.3">
      <c r="AR86"/>
    </row>
    <row r="87" spans="44:44" x14ac:dyDescent="0.3">
      <c r="AR87"/>
    </row>
    <row r="88" spans="44:44" x14ac:dyDescent="0.3">
      <c r="AR88"/>
    </row>
    <row r="89" spans="44:44" x14ac:dyDescent="0.3">
      <c r="AR89"/>
    </row>
    <row r="90" spans="44:44" x14ac:dyDescent="0.3">
      <c r="AR90"/>
    </row>
    <row r="91" spans="44:44" x14ac:dyDescent="0.3">
      <c r="AR91"/>
    </row>
    <row r="92" spans="44:44" x14ac:dyDescent="0.3">
      <c r="AR92"/>
    </row>
    <row r="93" spans="44:44" x14ac:dyDescent="0.3">
      <c r="AR93"/>
    </row>
    <row r="94" spans="44:44" x14ac:dyDescent="0.3">
      <c r="AR94"/>
    </row>
    <row r="95" spans="44:44" x14ac:dyDescent="0.3">
      <c r="AR95"/>
    </row>
    <row r="96" spans="44:44" x14ac:dyDescent="0.3">
      <c r="AR96"/>
    </row>
    <row r="97" spans="44:44" x14ac:dyDescent="0.3">
      <c r="AR97"/>
    </row>
    <row r="98" spans="44:44" x14ac:dyDescent="0.3">
      <c r="AR98"/>
    </row>
    <row r="99" spans="44:44" x14ac:dyDescent="0.3">
      <c r="AR99"/>
    </row>
    <row r="100" spans="44:44" x14ac:dyDescent="0.3">
      <c r="AR100"/>
    </row>
    <row r="101" spans="44:44" x14ac:dyDescent="0.3">
      <c r="AR101"/>
    </row>
    <row r="102" spans="44:44" x14ac:dyDescent="0.3">
      <c r="AR102"/>
    </row>
    <row r="103" spans="44:44" x14ac:dyDescent="0.3">
      <c r="AR103"/>
    </row>
    <row r="104" spans="44:44" x14ac:dyDescent="0.3">
      <c r="AR104"/>
    </row>
    <row r="105" spans="44:44" x14ac:dyDescent="0.3">
      <c r="AR105"/>
    </row>
    <row r="106" spans="44:44" x14ac:dyDescent="0.3">
      <c r="AR106"/>
    </row>
    <row r="107" spans="44:44" x14ac:dyDescent="0.3">
      <c r="AR107"/>
    </row>
    <row r="108" spans="44:44" x14ac:dyDescent="0.3">
      <c r="AR108"/>
    </row>
    <row r="109" spans="44:44" x14ac:dyDescent="0.3">
      <c r="AR109"/>
    </row>
    <row r="110" spans="44:44" x14ac:dyDescent="0.3">
      <c r="AR110"/>
    </row>
    <row r="111" spans="44:44" x14ac:dyDescent="0.3">
      <c r="AR111"/>
    </row>
    <row r="112" spans="44:44" x14ac:dyDescent="0.3">
      <c r="AR112"/>
    </row>
    <row r="113" spans="44:44" x14ac:dyDescent="0.3">
      <c r="AR113"/>
    </row>
    <row r="114" spans="44:44" x14ac:dyDescent="0.3">
      <c r="AR114"/>
    </row>
    <row r="115" spans="44:44" x14ac:dyDescent="0.3">
      <c r="AR115"/>
    </row>
    <row r="116" spans="44:44" x14ac:dyDescent="0.3">
      <c r="AR116"/>
    </row>
    <row r="117" spans="44:44" x14ac:dyDescent="0.3">
      <c r="AR117"/>
    </row>
    <row r="118" spans="44:44" x14ac:dyDescent="0.3">
      <c r="AR118"/>
    </row>
    <row r="119" spans="44:44" x14ac:dyDescent="0.3">
      <c r="AR119"/>
    </row>
    <row r="120" spans="44:44" x14ac:dyDescent="0.3">
      <c r="AR120"/>
    </row>
    <row r="121" spans="44:44" x14ac:dyDescent="0.3">
      <c r="AR121"/>
    </row>
    <row r="122" spans="44:44" x14ac:dyDescent="0.3">
      <c r="AR122"/>
    </row>
    <row r="123" spans="44:44" x14ac:dyDescent="0.3">
      <c r="AR123"/>
    </row>
    <row r="124" spans="44:44" x14ac:dyDescent="0.3">
      <c r="AR124"/>
    </row>
    <row r="125" spans="44:44" x14ac:dyDescent="0.3">
      <c r="AR125"/>
    </row>
    <row r="126" spans="44:44" x14ac:dyDescent="0.3">
      <c r="AR126"/>
    </row>
    <row r="127" spans="44:44" x14ac:dyDescent="0.3">
      <c r="AR127"/>
    </row>
    <row r="128" spans="44:44" x14ac:dyDescent="0.3">
      <c r="AR128"/>
    </row>
    <row r="129" spans="44:44" x14ac:dyDescent="0.3">
      <c r="AR129"/>
    </row>
    <row r="130" spans="44:44" x14ac:dyDescent="0.3">
      <c r="AR130"/>
    </row>
    <row r="131" spans="44:44" x14ac:dyDescent="0.3">
      <c r="AR131"/>
    </row>
    <row r="132" spans="44:44" x14ac:dyDescent="0.3">
      <c r="AR132"/>
    </row>
    <row r="133" spans="44:44" x14ac:dyDescent="0.3">
      <c r="AR133"/>
    </row>
    <row r="134" spans="44:44" x14ac:dyDescent="0.3">
      <c r="AR134"/>
    </row>
    <row r="135" spans="44:44" x14ac:dyDescent="0.3">
      <c r="AR135"/>
    </row>
    <row r="136" spans="44:44" x14ac:dyDescent="0.3">
      <c r="AR136"/>
    </row>
    <row r="137" spans="44:44" x14ac:dyDescent="0.3">
      <c r="AR137"/>
    </row>
    <row r="138" spans="44:44" x14ac:dyDescent="0.3">
      <c r="AR138"/>
    </row>
    <row r="139" spans="44:44" x14ac:dyDescent="0.3">
      <c r="AR139"/>
    </row>
    <row r="140" spans="44:44" x14ac:dyDescent="0.3">
      <c r="AR140"/>
    </row>
    <row r="141" spans="44:44" x14ac:dyDescent="0.3">
      <c r="AR141"/>
    </row>
    <row r="142" spans="44:44" x14ac:dyDescent="0.3">
      <c r="AR142"/>
    </row>
    <row r="143" spans="44:44" x14ac:dyDescent="0.3">
      <c r="AR143"/>
    </row>
    <row r="144" spans="44:44" x14ac:dyDescent="0.3">
      <c r="AR144"/>
    </row>
    <row r="145" spans="44:44" x14ac:dyDescent="0.3">
      <c r="AR145"/>
    </row>
    <row r="146" spans="44:44" x14ac:dyDescent="0.3">
      <c r="AR146"/>
    </row>
    <row r="147" spans="44:44" x14ac:dyDescent="0.3">
      <c r="AR147"/>
    </row>
    <row r="148" spans="44:44" x14ac:dyDescent="0.3">
      <c r="AR148"/>
    </row>
    <row r="149" spans="44:44" x14ac:dyDescent="0.3">
      <c r="AR149"/>
    </row>
    <row r="150" spans="44:44" x14ac:dyDescent="0.3">
      <c r="AR150"/>
    </row>
    <row r="151" spans="44:44" x14ac:dyDescent="0.3">
      <c r="AR151"/>
    </row>
    <row r="152" spans="44:44" x14ac:dyDescent="0.3">
      <c r="AR152"/>
    </row>
    <row r="153" spans="44:44" x14ac:dyDescent="0.3">
      <c r="AR153"/>
    </row>
    <row r="154" spans="44:44" x14ac:dyDescent="0.3">
      <c r="AR154"/>
    </row>
    <row r="155" spans="44:44" x14ac:dyDescent="0.3">
      <c r="AR155"/>
    </row>
    <row r="156" spans="44:44" x14ac:dyDescent="0.3">
      <c r="AR156"/>
    </row>
    <row r="157" spans="44:44" x14ac:dyDescent="0.3">
      <c r="AR157"/>
    </row>
    <row r="158" spans="44:44" x14ac:dyDescent="0.3">
      <c r="AR158"/>
    </row>
    <row r="159" spans="44:44" x14ac:dyDescent="0.3">
      <c r="AR159"/>
    </row>
    <row r="160" spans="44:44" x14ac:dyDescent="0.3">
      <c r="AR160"/>
    </row>
    <row r="161" spans="44:44" x14ac:dyDescent="0.3">
      <c r="AR161"/>
    </row>
    <row r="162" spans="44:44" x14ac:dyDescent="0.3">
      <c r="AR162"/>
    </row>
    <row r="163" spans="44:44" x14ac:dyDescent="0.3">
      <c r="AR163"/>
    </row>
    <row r="164" spans="44:44" x14ac:dyDescent="0.3">
      <c r="AR164"/>
    </row>
    <row r="165" spans="44:44" x14ac:dyDescent="0.3">
      <c r="AR165"/>
    </row>
    <row r="166" spans="44:44" x14ac:dyDescent="0.3">
      <c r="AR166"/>
    </row>
    <row r="167" spans="44:44" x14ac:dyDescent="0.3">
      <c r="AR167"/>
    </row>
    <row r="168" spans="44:44" x14ac:dyDescent="0.3">
      <c r="AR168"/>
    </row>
    <row r="169" spans="44:44" x14ac:dyDescent="0.3">
      <c r="AR169"/>
    </row>
    <row r="170" spans="44:44" x14ac:dyDescent="0.3">
      <c r="AR170"/>
    </row>
    <row r="171" spans="44:44" x14ac:dyDescent="0.3">
      <c r="AR171"/>
    </row>
    <row r="172" spans="44:44" x14ac:dyDescent="0.3">
      <c r="AR172"/>
    </row>
    <row r="173" spans="44:44" x14ac:dyDescent="0.3">
      <c r="AR173"/>
    </row>
    <row r="174" spans="44:44" x14ac:dyDescent="0.3">
      <c r="AR174"/>
    </row>
    <row r="175" spans="44:44" x14ac:dyDescent="0.3">
      <c r="AR175"/>
    </row>
    <row r="176" spans="44:44" x14ac:dyDescent="0.3">
      <c r="AR176"/>
    </row>
    <row r="177" spans="44:44" x14ac:dyDescent="0.3">
      <c r="AR177"/>
    </row>
    <row r="178" spans="44:44" x14ac:dyDescent="0.3">
      <c r="AR178"/>
    </row>
    <row r="179" spans="44:44" x14ac:dyDescent="0.3">
      <c r="AR179"/>
    </row>
    <row r="180" spans="44:44" x14ac:dyDescent="0.3">
      <c r="AR180"/>
    </row>
    <row r="181" spans="44:44" x14ac:dyDescent="0.3">
      <c r="AR181"/>
    </row>
    <row r="182" spans="44:44" x14ac:dyDescent="0.3">
      <c r="AR182"/>
    </row>
    <row r="183" spans="44:44" x14ac:dyDescent="0.3">
      <c r="AR183"/>
    </row>
    <row r="184" spans="44:44" x14ac:dyDescent="0.3">
      <c r="AR184"/>
    </row>
    <row r="185" spans="44:44" x14ac:dyDescent="0.3">
      <c r="AR185"/>
    </row>
    <row r="186" spans="44:44" x14ac:dyDescent="0.3">
      <c r="AR186"/>
    </row>
    <row r="187" spans="44:44" x14ac:dyDescent="0.3">
      <c r="AR187"/>
    </row>
    <row r="188" spans="44:44" x14ac:dyDescent="0.3">
      <c r="AR188"/>
    </row>
    <row r="189" spans="44:44" x14ac:dyDescent="0.3">
      <c r="AR189"/>
    </row>
    <row r="190" spans="44:44" x14ac:dyDescent="0.3">
      <c r="AR190"/>
    </row>
    <row r="191" spans="44:44" x14ac:dyDescent="0.3">
      <c r="AR191"/>
    </row>
    <row r="192" spans="44:44" x14ac:dyDescent="0.3">
      <c r="AR192"/>
    </row>
    <row r="193" spans="44:44" x14ac:dyDescent="0.3">
      <c r="AR193"/>
    </row>
    <row r="194" spans="44:44" x14ac:dyDescent="0.3">
      <c r="AR194"/>
    </row>
    <row r="195" spans="44:44" x14ac:dyDescent="0.3">
      <c r="AR195"/>
    </row>
    <row r="196" spans="44:44" x14ac:dyDescent="0.3">
      <c r="AR196"/>
    </row>
    <row r="197" spans="44:44" x14ac:dyDescent="0.3">
      <c r="AR197"/>
    </row>
    <row r="198" spans="44:44" x14ac:dyDescent="0.3">
      <c r="AR198"/>
    </row>
    <row r="199" spans="44:44" x14ac:dyDescent="0.3">
      <c r="AR199"/>
    </row>
    <row r="200" spans="44:44" x14ac:dyDescent="0.3">
      <c r="AR200"/>
    </row>
    <row r="201" spans="44:44" x14ac:dyDescent="0.3">
      <c r="AR201"/>
    </row>
    <row r="202" spans="44:44" x14ac:dyDescent="0.3">
      <c r="AR202"/>
    </row>
    <row r="203" spans="44:44" x14ac:dyDescent="0.3">
      <c r="AR203"/>
    </row>
    <row r="204" spans="44:44" x14ac:dyDescent="0.3">
      <c r="AR204"/>
    </row>
    <row r="205" spans="44:44" x14ac:dyDescent="0.3">
      <c r="AR205"/>
    </row>
    <row r="206" spans="44:44" x14ac:dyDescent="0.3">
      <c r="AR206"/>
    </row>
    <row r="207" spans="44:44" x14ac:dyDescent="0.3">
      <c r="AR207"/>
    </row>
    <row r="208" spans="44:44" x14ac:dyDescent="0.3">
      <c r="AR208"/>
    </row>
    <row r="209" spans="44:44" x14ac:dyDescent="0.3">
      <c r="AR209"/>
    </row>
    <row r="210" spans="44:44" x14ac:dyDescent="0.3">
      <c r="AR210"/>
    </row>
    <row r="211" spans="44:44" x14ac:dyDescent="0.3">
      <c r="AR211"/>
    </row>
    <row r="212" spans="44:44" x14ac:dyDescent="0.3">
      <c r="AR212"/>
    </row>
    <row r="213" spans="44:44" x14ac:dyDescent="0.3">
      <c r="AR213"/>
    </row>
    <row r="214" spans="44:44" x14ac:dyDescent="0.3">
      <c r="AR214"/>
    </row>
    <row r="215" spans="44:44" x14ac:dyDescent="0.3">
      <c r="AR215"/>
    </row>
    <row r="216" spans="44:44" x14ac:dyDescent="0.3">
      <c r="AR216"/>
    </row>
    <row r="217" spans="44:44" x14ac:dyDescent="0.3">
      <c r="AR217"/>
    </row>
    <row r="218" spans="44:44" x14ac:dyDescent="0.3">
      <c r="AR218"/>
    </row>
    <row r="219" spans="44:44" x14ac:dyDescent="0.3">
      <c r="AR219"/>
    </row>
    <row r="220" spans="44:44" x14ac:dyDescent="0.3">
      <c r="AR220"/>
    </row>
    <row r="221" spans="44:44" x14ac:dyDescent="0.3">
      <c r="AR221"/>
    </row>
    <row r="222" spans="44:44" x14ac:dyDescent="0.3">
      <c r="AR222"/>
    </row>
    <row r="223" spans="44:44" x14ac:dyDescent="0.3">
      <c r="AR223"/>
    </row>
    <row r="224" spans="44:44" x14ac:dyDescent="0.3">
      <c r="AR224"/>
    </row>
    <row r="225" spans="44:44" x14ac:dyDescent="0.3">
      <c r="AR225"/>
    </row>
    <row r="226" spans="44:44" x14ac:dyDescent="0.3">
      <c r="AR226"/>
    </row>
    <row r="227" spans="44:44" x14ac:dyDescent="0.3">
      <c r="AR227"/>
    </row>
    <row r="228" spans="44:44" x14ac:dyDescent="0.3">
      <c r="AR228"/>
    </row>
    <row r="229" spans="44:44" x14ac:dyDescent="0.3">
      <c r="AR229"/>
    </row>
    <row r="230" spans="44:44" x14ac:dyDescent="0.3">
      <c r="AR230"/>
    </row>
    <row r="231" spans="44:44" x14ac:dyDescent="0.3">
      <c r="AR231"/>
    </row>
    <row r="232" spans="44:44" x14ac:dyDescent="0.3">
      <c r="AR232"/>
    </row>
    <row r="233" spans="44:44" x14ac:dyDescent="0.3">
      <c r="AR233"/>
    </row>
    <row r="234" spans="44:44" x14ac:dyDescent="0.3">
      <c r="AR234"/>
    </row>
    <row r="235" spans="44:44" x14ac:dyDescent="0.3">
      <c r="AR235"/>
    </row>
    <row r="236" spans="44:44" x14ac:dyDescent="0.3">
      <c r="AR236"/>
    </row>
    <row r="237" spans="44:44" x14ac:dyDescent="0.3">
      <c r="AR237"/>
    </row>
    <row r="238" spans="44:44" x14ac:dyDescent="0.3">
      <c r="AR238"/>
    </row>
    <row r="239" spans="44:44" x14ac:dyDescent="0.3">
      <c r="AR239"/>
    </row>
    <row r="240" spans="44:44" x14ac:dyDescent="0.3">
      <c r="AR240"/>
    </row>
    <row r="241" spans="44:44" x14ac:dyDescent="0.3">
      <c r="AR241"/>
    </row>
    <row r="242" spans="44:44" x14ac:dyDescent="0.3">
      <c r="AR242"/>
    </row>
    <row r="243" spans="44:44" x14ac:dyDescent="0.3">
      <c r="AR243"/>
    </row>
    <row r="244" spans="44:44" x14ac:dyDescent="0.3">
      <c r="AR244"/>
    </row>
    <row r="245" spans="44:44" x14ac:dyDescent="0.3">
      <c r="AR245"/>
    </row>
    <row r="246" spans="44:44" x14ac:dyDescent="0.3">
      <c r="AR246"/>
    </row>
    <row r="247" spans="44:44" x14ac:dyDescent="0.3">
      <c r="AR247"/>
    </row>
    <row r="248" spans="44:44" x14ac:dyDescent="0.3">
      <c r="AR248"/>
    </row>
    <row r="249" spans="44:44" x14ac:dyDescent="0.3">
      <c r="AR249"/>
    </row>
    <row r="250" spans="44:44" x14ac:dyDescent="0.3">
      <c r="AR250"/>
    </row>
    <row r="251" spans="44:44" x14ac:dyDescent="0.3">
      <c r="AR251"/>
    </row>
    <row r="252" spans="44:44" x14ac:dyDescent="0.3">
      <c r="AR252"/>
    </row>
    <row r="253" spans="44:44" x14ac:dyDescent="0.3">
      <c r="AR253"/>
    </row>
    <row r="254" spans="44:44" x14ac:dyDescent="0.3">
      <c r="AR254"/>
    </row>
    <row r="255" spans="44:44" x14ac:dyDescent="0.3">
      <c r="AR255"/>
    </row>
    <row r="256" spans="44:44" x14ac:dyDescent="0.3">
      <c r="AR256"/>
    </row>
    <row r="257" spans="44:44" x14ac:dyDescent="0.3">
      <c r="AR257"/>
    </row>
    <row r="258" spans="44:44" x14ac:dyDescent="0.3">
      <c r="AR258"/>
    </row>
    <row r="259" spans="44:44" x14ac:dyDescent="0.3">
      <c r="AR259"/>
    </row>
    <row r="260" spans="44:44" x14ac:dyDescent="0.3">
      <c r="AR260"/>
    </row>
    <row r="261" spans="44:44" x14ac:dyDescent="0.3">
      <c r="AR261"/>
    </row>
    <row r="262" spans="44:44" x14ac:dyDescent="0.3">
      <c r="AR262"/>
    </row>
    <row r="263" spans="44:44" x14ac:dyDescent="0.3">
      <c r="AR263"/>
    </row>
    <row r="264" spans="44:44" x14ac:dyDescent="0.3">
      <c r="AR264"/>
    </row>
    <row r="265" spans="44:44" x14ac:dyDescent="0.3">
      <c r="AR265"/>
    </row>
    <row r="266" spans="44:44" x14ac:dyDescent="0.3">
      <c r="AR266"/>
    </row>
    <row r="267" spans="44:44" x14ac:dyDescent="0.3">
      <c r="AR267"/>
    </row>
    <row r="268" spans="44:44" x14ac:dyDescent="0.3">
      <c r="AR268"/>
    </row>
    <row r="269" spans="44:44" x14ac:dyDescent="0.3">
      <c r="AR269"/>
    </row>
    <row r="270" spans="44:44" x14ac:dyDescent="0.3">
      <c r="AR270"/>
    </row>
    <row r="271" spans="44:44" x14ac:dyDescent="0.3">
      <c r="AR271"/>
    </row>
    <row r="272" spans="44:44" x14ac:dyDescent="0.3">
      <c r="AR272"/>
    </row>
    <row r="273" spans="44:44" x14ac:dyDescent="0.3">
      <c r="AR273"/>
    </row>
    <row r="274" spans="44:44" x14ac:dyDescent="0.3">
      <c r="AR274"/>
    </row>
    <row r="275" spans="44:44" x14ac:dyDescent="0.3">
      <c r="AR275"/>
    </row>
    <row r="276" spans="44:44" x14ac:dyDescent="0.3">
      <c r="AR276"/>
    </row>
    <row r="277" spans="44:44" x14ac:dyDescent="0.3">
      <c r="AR277"/>
    </row>
    <row r="278" spans="44:44" x14ac:dyDescent="0.3">
      <c r="AR278"/>
    </row>
    <row r="279" spans="44:44" x14ac:dyDescent="0.3">
      <c r="AR279"/>
    </row>
    <row r="280" spans="44:44" x14ac:dyDescent="0.3">
      <c r="AR280"/>
    </row>
    <row r="281" spans="44:44" x14ac:dyDescent="0.3">
      <c r="AR281"/>
    </row>
    <row r="282" spans="44:44" x14ac:dyDescent="0.3">
      <c r="AR282"/>
    </row>
    <row r="283" spans="44:44" x14ac:dyDescent="0.3">
      <c r="AR283"/>
    </row>
    <row r="284" spans="44:44" x14ac:dyDescent="0.3">
      <c r="AR284"/>
    </row>
    <row r="285" spans="44:44" x14ac:dyDescent="0.3">
      <c r="AR285"/>
    </row>
    <row r="286" spans="44:44" x14ac:dyDescent="0.3">
      <c r="AR286"/>
    </row>
    <row r="287" spans="44:44" x14ac:dyDescent="0.3">
      <c r="AR287"/>
    </row>
    <row r="288" spans="44:44" x14ac:dyDescent="0.3">
      <c r="AR288"/>
    </row>
    <row r="289" spans="44:44" x14ac:dyDescent="0.3">
      <c r="AR289"/>
    </row>
    <row r="290" spans="44:44" x14ac:dyDescent="0.3">
      <c r="AR290"/>
    </row>
    <row r="291" spans="44:44" x14ac:dyDescent="0.3">
      <c r="AR291"/>
    </row>
    <row r="292" spans="44:44" x14ac:dyDescent="0.3">
      <c r="AR292"/>
    </row>
    <row r="293" spans="44:44" x14ac:dyDescent="0.3">
      <c r="AR293"/>
    </row>
    <row r="294" spans="44:44" x14ac:dyDescent="0.3">
      <c r="AR294"/>
    </row>
    <row r="295" spans="44:44" x14ac:dyDescent="0.3">
      <c r="AR295"/>
    </row>
    <row r="296" spans="44:44" x14ac:dyDescent="0.3">
      <c r="AR296"/>
    </row>
    <row r="297" spans="44:44" x14ac:dyDescent="0.3">
      <c r="AR297"/>
    </row>
    <row r="298" spans="44:44" x14ac:dyDescent="0.3">
      <c r="AR298"/>
    </row>
    <row r="299" spans="44:44" x14ac:dyDescent="0.3">
      <c r="AR299"/>
    </row>
    <row r="300" spans="44:44" x14ac:dyDescent="0.3">
      <c r="AR300"/>
    </row>
    <row r="301" spans="44:44" x14ac:dyDescent="0.3">
      <c r="AR301"/>
    </row>
    <row r="302" spans="44:44" x14ac:dyDescent="0.3">
      <c r="AR302"/>
    </row>
    <row r="303" spans="44:44" x14ac:dyDescent="0.3">
      <c r="AR303"/>
    </row>
    <row r="304" spans="44:44" x14ac:dyDescent="0.3">
      <c r="AR304"/>
    </row>
    <row r="305" spans="44:44" x14ac:dyDescent="0.3">
      <c r="AR305"/>
    </row>
    <row r="306" spans="44:44" x14ac:dyDescent="0.3">
      <c r="AR306"/>
    </row>
    <row r="307" spans="44:44" x14ac:dyDescent="0.3">
      <c r="AR307"/>
    </row>
    <row r="308" spans="44:44" x14ac:dyDescent="0.3">
      <c r="AR308"/>
    </row>
    <row r="309" spans="44:44" x14ac:dyDescent="0.3">
      <c r="AR309"/>
    </row>
    <row r="310" spans="44:44" x14ac:dyDescent="0.3">
      <c r="AR310"/>
    </row>
    <row r="311" spans="44:44" x14ac:dyDescent="0.3">
      <c r="AR311"/>
    </row>
    <row r="312" spans="44:44" x14ac:dyDescent="0.3">
      <c r="AR312"/>
    </row>
    <row r="313" spans="44:44" x14ac:dyDescent="0.3">
      <c r="AR313"/>
    </row>
    <row r="314" spans="44:44" x14ac:dyDescent="0.3">
      <c r="AR314"/>
    </row>
    <row r="315" spans="44:44" x14ac:dyDescent="0.3">
      <c r="AR315"/>
    </row>
    <row r="316" spans="44:44" x14ac:dyDescent="0.3">
      <c r="AR316"/>
    </row>
    <row r="317" spans="44:44" x14ac:dyDescent="0.3">
      <c r="AR317"/>
    </row>
    <row r="318" spans="44:44" x14ac:dyDescent="0.3">
      <c r="AR318"/>
    </row>
    <row r="319" spans="44:44" x14ac:dyDescent="0.3">
      <c r="AR319"/>
    </row>
    <row r="320" spans="44:44" x14ac:dyDescent="0.3">
      <c r="AR320"/>
    </row>
    <row r="321" spans="44:44" x14ac:dyDescent="0.3">
      <c r="AR321"/>
    </row>
    <row r="322" spans="44:44" x14ac:dyDescent="0.3">
      <c r="AR322"/>
    </row>
    <row r="323" spans="44:44" x14ac:dyDescent="0.3">
      <c r="AR323"/>
    </row>
    <row r="324" spans="44:44" x14ac:dyDescent="0.3">
      <c r="AR324"/>
    </row>
    <row r="325" spans="44:44" x14ac:dyDescent="0.3">
      <c r="AR325"/>
    </row>
    <row r="326" spans="44:44" x14ac:dyDescent="0.3">
      <c r="AR326"/>
    </row>
    <row r="327" spans="44:44" x14ac:dyDescent="0.3">
      <c r="AR327"/>
    </row>
    <row r="328" spans="44:44" x14ac:dyDescent="0.3">
      <c r="AR328"/>
    </row>
    <row r="329" spans="44:44" x14ac:dyDescent="0.3">
      <c r="AR329"/>
    </row>
    <row r="330" spans="44:44" x14ac:dyDescent="0.3">
      <c r="AR330"/>
    </row>
    <row r="331" spans="44:44" x14ac:dyDescent="0.3">
      <c r="AR331"/>
    </row>
    <row r="332" spans="44:44" x14ac:dyDescent="0.3">
      <c r="AR332"/>
    </row>
    <row r="333" spans="44:44" x14ac:dyDescent="0.3">
      <c r="AR333"/>
    </row>
    <row r="334" spans="44:44" x14ac:dyDescent="0.3">
      <c r="AR334"/>
    </row>
    <row r="335" spans="44:44" x14ac:dyDescent="0.3">
      <c r="AR335"/>
    </row>
    <row r="336" spans="44:44" x14ac:dyDescent="0.3">
      <c r="AR336"/>
    </row>
    <row r="337" spans="44:44" x14ac:dyDescent="0.3">
      <c r="AR337"/>
    </row>
    <row r="338" spans="44:44" x14ac:dyDescent="0.3">
      <c r="AR338"/>
    </row>
    <row r="339" spans="44:44" x14ac:dyDescent="0.3">
      <c r="AR339"/>
    </row>
    <row r="340" spans="44:44" x14ac:dyDescent="0.3">
      <c r="AR340"/>
    </row>
    <row r="341" spans="44:44" x14ac:dyDescent="0.3">
      <c r="AR341"/>
    </row>
    <row r="342" spans="44:44" x14ac:dyDescent="0.3">
      <c r="AR342"/>
    </row>
    <row r="343" spans="44:44" x14ac:dyDescent="0.3">
      <c r="AR343"/>
    </row>
    <row r="344" spans="44:44" x14ac:dyDescent="0.3">
      <c r="AR344"/>
    </row>
    <row r="345" spans="44:44" x14ac:dyDescent="0.3">
      <c r="AR345"/>
    </row>
    <row r="346" spans="44:44" x14ac:dyDescent="0.3">
      <c r="AR346"/>
    </row>
    <row r="347" spans="44:44" x14ac:dyDescent="0.3">
      <c r="AR347"/>
    </row>
    <row r="348" spans="44:44" x14ac:dyDescent="0.3">
      <c r="AR348"/>
    </row>
    <row r="349" spans="44:44" x14ac:dyDescent="0.3">
      <c r="AR349"/>
    </row>
    <row r="350" spans="44:44" x14ac:dyDescent="0.3">
      <c r="AR350"/>
    </row>
    <row r="351" spans="44:44" x14ac:dyDescent="0.3">
      <c r="AR351"/>
    </row>
    <row r="352" spans="44:44" x14ac:dyDescent="0.3">
      <c r="AR352"/>
    </row>
    <row r="353" spans="44:44" x14ac:dyDescent="0.3">
      <c r="AR353"/>
    </row>
    <row r="354" spans="44:44" x14ac:dyDescent="0.3">
      <c r="AR354"/>
    </row>
    <row r="355" spans="44:44" x14ac:dyDescent="0.3">
      <c r="AR355"/>
    </row>
    <row r="356" spans="44:44" x14ac:dyDescent="0.3">
      <c r="AR356"/>
    </row>
    <row r="357" spans="44:44" x14ac:dyDescent="0.3">
      <c r="AR357"/>
    </row>
    <row r="358" spans="44:44" x14ac:dyDescent="0.3">
      <c r="AR358"/>
    </row>
    <row r="359" spans="44:44" x14ac:dyDescent="0.3">
      <c r="AR359"/>
    </row>
    <row r="360" spans="44:44" x14ac:dyDescent="0.3">
      <c r="AR360"/>
    </row>
    <row r="361" spans="44:44" x14ac:dyDescent="0.3">
      <c r="AR361"/>
    </row>
    <row r="362" spans="44:44" x14ac:dyDescent="0.3">
      <c r="AR362"/>
    </row>
    <row r="363" spans="44:44" x14ac:dyDescent="0.3">
      <c r="AR363"/>
    </row>
    <row r="364" spans="44:44" x14ac:dyDescent="0.3">
      <c r="AR364"/>
    </row>
    <row r="365" spans="44:44" x14ac:dyDescent="0.3">
      <c r="AR365"/>
    </row>
    <row r="366" spans="44:44" x14ac:dyDescent="0.3">
      <c r="AR366"/>
    </row>
    <row r="367" spans="44:44" x14ac:dyDescent="0.3">
      <c r="AR367"/>
    </row>
    <row r="368" spans="44:44" x14ac:dyDescent="0.3">
      <c r="AR368"/>
    </row>
    <row r="369" spans="44:44" x14ac:dyDescent="0.3">
      <c r="AR369"/>
    </row>
    <row r="370" spans="44:44" x14ac:dyDescent="0.3">
      <c r="AR370"/>
    </row>
    <row r="371" spans="44:44" x14ac:dyDescent="0.3">
      <c r="AR371"/>
    </row>
    <row r="372" spans="44:44" x14ac:dyDescent="0.3">
      <c r="AR372"/>
    </row>
    <row r="373" spans="44:44" x14ac:dyDescent="0.3">
      <c r="AR373"/>
    </row>
    <row r="374" spans="44:44" x14ac:dyDescent="0.3">
      <c r="AR374"/>
    </row>
    <row r="375" spans="44:44" x14ac:dyDescent="0.3">
      <c r="AR375"/>
    </row>
    <row r="376" spans="44:44" x14ac:dyDescent="0.3">
      <c r="AR376"/>
    </row>
    <row r="377" spans="44:44" x14ac:dyDescent="0.3">
      <c r="AR377"/>
    </row>
    <row r="378" spans="44:44" x14ac:dyDescent="0.3">
      <c r="AR378"/>
    </row>
    <row r="379" spans="44:44" x14ac:dyDescent="0.3">
      <c r="AR379"/>
    </row>
    <row r="380" spans="44:44" x14ac:dyDescent="0.3">
      <c r="AR380"/>
    </row>
    <row r="381" spans="44:44" x14ac:dyDescent="0.3">
      <c r="AR381"/>
    </row>
    <row r="382" spans="44:44" x14ac:dyDescent="0.3">
      <c r="AR382"/>
    </row>
    <row r="383" spans="44:44" x14ac:dyDescent="0.3">
      <c r="AR383"/>
    </row>
    <row r="384" spans="44:44" x14ac:dyDescent="0.3">
      <c r="AR384"/>
    </row>
    <row r="385" spans="44:44" x14ac:dyDescent="0.3">
      <c r="AR385"/>
    </row>
    <row r="386" spans="44:44" x14ac:dyDescent="0.3">
      <c r="AR386"/>
    </row>
    <row r="387" spans="44:44" x14ac:dyDescent="0.3">
      <c r="AR387"/>
    </row>
    <row r="388" spans="44:44" x14ac:dyDescent="0.3">
      <c r="AR388"/>
    </row>
    <row r="389" spans="44:44" x14ac:dyDescent="0.3">
      <c r="AR389"/>
    </row>
    <row r="390" spans="44:44" x14ac:dyDescent="0.3">
      <c r="AR390"/>
    </row>
    <row r="391" spans="44:44" x14ac:dyDescent="0.3">
      <c r="AR391"/>
    </row>
    <row r="392" spans="44:44" x14ac:dyDescent="0.3">
      <c r="AR392"/>
    </row>
    <row r="393" spans="44:44" x14ac:dyDescent="0.3">
      <c r="AR393"/>
    </row>
    <row r="394" spans="44:44" x14ac:dyDescent="0.3">
      <c r="AR394"/>
    </row>
    <row r="395" spans="44:44" x14ac:dyDescent="0.3">
      <c r="AR395"/>
    </row>
    <row r="396" spans="44:44" x14ac:dyDescent="0.3">
      <c r="AR396"/>
    </row>
    <row r="397" spans="44:44" x14ac:dyDescent="0.3">
      <c r="AR397"/>
    </row>
    <row r="398" spans="44:44" x14ac:dyDescent="0.3">
      <c r="AR398"/>
    </row>
    <row r="399" spans="44:44" x14ac:dyDescent="0.3">
      <c r="AR399"/>
    </row>
    <row r="400" spans="44:44" x14ac:dyDescent="0.3">
      <c r="AR400"/>
    </row>
    <row r="401" spans="44:44" x14ac:dyDescent="0.3">
      <c r="AR401"/>
    </row>
    <row r="402" spans="44:44" x14ac:dyDescent="0.3">
      <c r="AR402"/>
    </row>
    <row r="403" spans="44:44" x14ac:dyDescent="0.3">
      <c r="AR403"/>
    </row>
    <row r="404" spans="44:44" x14ac:dyDescent="0.3">
      <c r="AR404"/>
    </row>
    <row r="405" spans="44:44" x14ac:dyDescent="0.3">
      <c r="AR405"/>
    </row>
    <row r="406" spans="44:44" x14ac:dyDescent="0.3">
      <c r="AR406"/>
    </row>
    <row r="407" spans="44:44" x14ac:dyDescent="0.3">
      <c r="AR407"/>
    </row>
    <row r="408" spans="44:44" x14ac:dyDescent="0.3">
      <c r="AR408"/>
    </row>
    <row r="409" spans="44:44" x14ac:dyDescent="0.3">
      <c r="AR409"/>
    </row>
    <row r="410" spans="44:44" x14ac:dyDescent="0.3">
      <c r="AR410"/>
    </row>
    <row r="411" spans="44:44" x14ac:dyDescent="0.3">
      <c r="AR411"/>
    </row>
    <row r="412" spans="44:44" x14ac:dyDescent="0.3">
      <c r="AR412"/>
    </row>
    <row r="413" spans="44:44" x14ac:dyDescent="0.3">
      <c r="AR413"/>
    </row>
    <row r="414" spans="44:44" x14ac:dyDescent="0.3">
      <c r="AR414"/>
    </row>
    <row r="415" spans="44:44" x14ac:dyDescent="0.3">
      <c r="AR415"/>
    </row>
    <row r="416" spans="44:44" x14ac:dyDescent="0.3">
      <c r="AR416"/>
    </row>
    <row r="417" spans="44:44" x14ac:dyDescent="0.3">
      <c r="AR417"/>
    </row>
    <row r="418" spans="44:44" x14ac:dyDescent="0.3">
      <c r="AR418"/>
    </row>
    <row r="419" spans="44:44" x14ac:dyDescent="0.3">
      <c r="AR419"/>
    </row>
    <row r="420" spans="44:44" x14ac:dyDescent="0.3">
      <c r="AR420"/>
    </row>
    <row r="421" spans="44:44" x14ac:dyDescent="0.3">
      <c r="AR421"/>
    </row>
    <row r="422" spans="44:44" x14ac:dyDescent="0.3">
      <c r="AR422"/>
    </row>
    <row r="423" spans="44:44" x14ac:dyDescent="0.3">
      <c r="AR423"/>
    </row>
    <row r="424" spans="44:44" x14ac:dyDescent="0.3">
      <c r="AR424"/>
    </row>
    <row r="425" spans="44:44" x14ac:dyDescent="0.3">
      <c r="AR425"/>
    </row>
    <row r="426" spans="44:44" x14ac:dyDescent="0.3">
      <c r="AR426"/>
    </row>
    <row r="427" spans="44:44" x14ac:dyDescent="0.3">
      <c r="AR427"/>
    </row>
    <row r="428" spans="44:44" x14ac:dyDescent="0.3">
      <c r="AR428"/>
    </row>
    <row r="429" spans="44:44" x14ac:dyDescent="0.3">
      <c r="AR429"/>
    </row>
    <row r="430" spans="44:44" x14ac:dyDescent="0.3">
      <c r="AR430"/>
    </row>
    <row r="431" spans="44:44" x14ac:dyDescent="0.3">
      <c r="AR431"/>
    </row>
    <row r="432" spans="44:44" x14ac:dyDescent="0.3">
      <c r="AR432"/>
    </row>
    <row r="433" spans="44:44" x14ac:dyDescent="0.3">
      <c r="AR433"/>
    </row>
    <row r="434" spans="44:44" x14ac:dyDescent="0.3">
      <c r="AR434"/>
    </row>
    <row r="435" spans="44:44" x14ac:dyDescent="0.3">
      <c r="AR435"/>
    </row>
    <row r="436" spans="44:44" x14ac:dyDescent="0.3">
      <c r="AR436"/>
    </row>
    <row r="437" spans="44:44" x14ac:dyDescent="0.3">
      <c r="AR437"/>
    </row>
    <row r="438" spans="44:44" x14ac:dyDescent="0.3">
      <c r="AR438"/>
    </row>
    <row r="439" spans="44:44" x14ac:dyDescent="0.3">
      <c r="AR439"/>
    </row>
    <row r="440" spans="44:44" x14ac:dyDescent="0.3">
      <c r="AR440"/>
    </row>
    <row r="441" spans="44:44" x14ac:dyDescent="0.3">
      <c r="AR441"/>
    </row>
    <row r="442" spans="44:44" x14ac:dyDescent="0.3">
      <c r="AR442"/>
    </row>
    <row r="443" spans="44:44" x14ac:dyDescent="0.3">
      <c r="AR443"/>
    </row>
    <row r="444" spans="44:44" x14ac:dyDescent="0.3">
      <c r="AR444"/>
    </row>
    <row r="445" spans="44:44" x14ac:dyDescent="0.3">
      <c r="AR445"/>
    </row>
    <row r="446" spans="44:44" x14ac:dyDescent="0.3">
      <c r="AR446"/>
    </row>
    <row r="447" spans="44:44" x14ac:dyDescent="0.3">
      <c r="AR447"/>
    </row>
    <row r="448" spans="44:44" x14ac:dyDescent="0.3">
      <c r="AR448"/>
    </row>
    <row r="449" spans="44:44" x14ac:dyDescent="0.3">
      <c r="AR449"/>
    </row>
    <row r="450" spans="44:44" x14ac:dyDescent="0.3">
      <c r="AR450"/>
    </row>
    <row r="451" spans="44:44" x14ac:dyDescent="0.3">
      <c r="AR451"/>
    </row>
    <row r="452" spans="44:44" x14ac:dyDescent="0.3">
      <c r="AR452"/>
    </row>
    <row r="453" spans="44:44" x14ac:dyDescent="0.3">
      <c r="AR453"/>
    </row>
    <row r="454" spans="44:44" x14ac:dyDescent="0.3">
      <c r="AR454"/>
    </row>
    <row r="455" spans="44:44" x14ac:dyDescent="0.3">
      <c r="AR455"/>
    </row>
    <row r="456" spans="44:44" x14ac:dyDescent="0.3">
      <c r="AR456"/>
    </row>
    <row r="457" spans="44:44" x14ac:dyDescent="0.3">
      <c r="AR457"/>
    </row>
    <row r="458" spans="44:44" x14ac:dyDescent="0.3">
      <c r="AR458"/>
    </row>
    <row r="459" spans="44:44" x14ac:dyDescent="0.3">
      <c r="AR459"/>
    </row>
    <row r="460" spans="44:44" x14ac:dyDescent="0.3">
      <c r="AR460"/>
    </row>
    <row r="461" spans="44:44" x14ac:dyDescent="0.3">
      <c r="AR461"/>
    </row>
    <row r="462" spans="44:44" x14ac:dyDescent="0.3">
      <c r="AR462"/>
    </row>
    <row r="463" spans="44:44" x14ac:dyDescent="0.3">
      <c r="AR463"/>
    </row>
    <row r="464" spans="44:44" x14ac:dyDescent="0.3">
      <c r="AR464"/>
    </row>
    <row r="465" spans="44:44" x14ac:dyDescent="0.3">
      <c r="AR465"/>
    </row>
    <row r="466" spans="44:44" x14ac:dyDescent="0.3">
      <c r="AR466"/>
    </row>
    <row r="467" spans="44:44" x14ac:dyDescent="0.3">
      <c r="AR467"/>
    </row>
    <row r="468" spans="44:44" x14ac:dyDescent="0.3">
      <c r="AR468"/>
    </row>
    <row r="469" spans="44:44" x14ac:dyDescent="0.3">
      <c r="AR469"/>
    </row>
    <row r="470" spans="44:44" x14ac:dyDescent="0.3">
      <c r="AR470"/>
    </row>
    <row r="471" spans="44:44" x14ac:dyDescent="0.3">
      <c r="AR471"/>
    </row>
    <row r="472" spans="44:44" x14ac:dyDescent="0.3">
      <c r="AR472"/>
    </row>
    <row r="473" spans="44:44" x14ac:dyDescent="0.3">
      <c r="AR473"/>
    </row>
    <row r="474" spans="44:44" x14ac:dyDescent="0.3">
      <c r="AR474"/>
    </row>
    <row r="475" spans="44:44" x14ac:dyDescent="0.3">
      <c r="AR475"/>
    </row>
    <row r="476" spans="44:44" x14ac:dyDescent="0.3">
      <c r="AR476"/>
    </row>
    <row r="477" spans="44:44" x14ac:dyDescent="0.3">
      <c r="AR477"/>
    </row>
    <row r="478" spans="44:44" x14ac:dyDescent="0.3">
      <c r="AR478"/>
    </row>
    <row r="479" spans="44:44" x14ac:dyDescent="0.3">
      <c r="AR479"/>
    </row>
    <row r="480" spans="44:44" x14ac:dyDescent="0.3">
      <c r="AR480"/>
    </row>
    <row r="481" spans="44:44" x14ac:dyDescent="0.3">
      <c r="AR481"/>
    </row>
    <row r="482" spans="44:44" x14ac:dyDescent="0.3">
      <c r="AR482"/>
    </row>
    <row r="483" spans="44:44" x14ac:dyDescent="0.3">
      <c r="AR483"/>
    </row>
    <row r="484" spans="44:44" x14ac:dyDescent="0.3">
      <c r="AR484"/>
    </row>
    <row r="485" spans="44:44" x14ac:dyDescent="0.3">
      <c r="AR485"/>
    </row>
    <row r="486" spans="44:44" x14ac:dyDescent="0.3">
      <c r="AR486"/>
    </row>
    <row r="487" spans="44:44" x14ac:dyDescent="0.3">
      <c r="AR487"/>
    </row>
    <row r="488" spans="44:44" x14ac:dyDescent="0.3">
      <c r="AR488"/>
    </row>
    <row r="489" spans="44:44" x14ac:dyDescent="0.3">
      <c r="AR489"/>
    </row>
    <row r="490" spans="44:44" x14ac:dyDescent="0.3">
      <c r="AR490"/>
    </row>
    <row r="491" spans="44:44" x14ac:dyDescent="0.3">
      <c r="AR491"/>
    </row>
    <row r="492" spans="44:44" x14ac:dyDescent="0.3">
      <c r="AR492"/>
    </row>
    <row r="493" spans="44:44" x14ac:dyDescent="0.3">
      <c r="AR493"/>
    </row>
    <row r="494" spans="44:44" x14ac:dyDescent="0.3">
      <c r="AR494"/>
    </row>
    <row r="495" spans="44:44" x14ac:dyDescent="0.3">
      <c r="AR495"/>
    </row>
    <row r="496" spans="44:44" x14ac:dyDescent="0.3">
      <c r="AR496"/>
    </row>
    <row r="497" spans="44:44" x14ac:dyDescent="0.3">
      <c r="AR497"/>
    </row>
    <row r="498" spans="44:44" x14ac:dyDescent="0.3">
      <c r="AR498"/>
    </row>
    <row r="499" spans="44:44" x14ac:dyDescent="0.3">
      <c r="AR499"/>
    </row>
    <row r="500" spans="44:44" x14ac:dyDescent="0.3">
      <c r="AR500"/>
    </row>
    <row r="501" spans="44:44" x14ac:dyDescent="0.3">
      <c r="AR501"/>
    </row>
    <row r="502" spans="44:44" x14ac:dyDescent="0.3">
      <c r="AR502"/>
    </row>
    <row r="503" spans="44:44" x14ac:dyDescent="0.3">
      <c r="AR503"/>
    </row>
    <row r="504" spans="44:44" x14ac:dyDescent="0.3">
      <c r="AR504"/>
    </row>
    <row r="505" spans="44:44" x14ac:dyDescent="0.3">
      <c r="AR505"/>
    </row>
    <row r="506" spans="44:44" x14ac:dyDescent="0.3">
      <c r="AR506"/>
    </row>
    <row r="507" spans="44:44" x14ac:dyDescent="0.3">
      <c r="AR507"/>
    </row>
    <row r="508" spans="44:44" x14ac:dyDescent="0.3">
      <c r="AR508"/>
    </row>
    <row r="509" spans="44:44" x14ac:dyDescent="0.3">
      <c r="AR509"/>
    </row>
    <row r="510" spans="44:44" x14ac:dyDescent="0.3">
      <c r="AR510"/>
    </row>
    <row r="511" spans="44:44" x14ac:dyDescent="0.3">
      <c r="AR511"/>
    </row>
    <row r="512" spans="44:44" x14ac:dyDescent="0.3">
      <c r="AR512"/>
    </row>
    <row r="513" spans="44:44" x14ac:dyDescent="0.3">
      <c r="AR513"/>
    </row>
    <row r="514" spans="44:44" x14ac:dyDescent="0.3">
      <c r="AR514"/>
    </row>
    <row r="515" spans="44:44" x14ac:dyDescent="0.3">
      <c r="AR515"/>
    </row>
    <row r="516" spans="44:44" x14ac:dyDescent="0.3">
      <c r="AR516"/>
    </row>
    <row r="517" spans="44:44" x14ac:dyDescent="0.3">
      <c r="AR517"/>
    </row>
    <row r="518" spans="44:44" x14ac:dyDescent="0.3">
      <c r="AR518"/>
    </row>
    <row r="519" spans="44:44" x14ac:dyDescent="0.3">
      <c r="AR519"/>
    </row>
    <row r="520" spans="44:44" x14ac:dyDescent="0.3">
      <c r="AR520"/>
    </row>
    <row r="521" spans="44:44" x14ac:dyDescent="0.3">
      <c r="AR521"/>
    </row>
    <row r="522" spans="44:44" x14ac:dyDescent="0.3">
      <c r="AR522"/>
    </row>
    <row r="523" spans="44:44" x14ac:dyDescent="0.3">
      <c r="AR523"/>
    </row>
    <row r="524" spans="44:44" x14ac:dyDescent="0.3">
      <c r="AR524"/>
    </row>
    <row r="525" spans="44:44" x14ac:dyDescent="0.3">
      <c r="AR525"/>
    </row>
    <row r="526" spans="44:44" x14ac:dyDescent="0.3">
      <c r="AR526"/>
    </row>
    <row r="527" spans="44:44" x14ac:dyDescent="0.3">
      <c r="AR527"/>
    </row>
    <row r="528" spans="44:44" x14ac:dyDescent="0.3">
      <c r="AR528"/>
    </row>
    <row r="529" spans="44:44" x14ac:dyDescent="0.3">
      <c r="AR529"/>
    </row>
    <row r="530" spans="44:44" x14ac:dyDescent="0.3">
      <c r="AR530"/>
    </row>
    <row r="531" spans="44:44" x14ac:dyDescent="0.3">
      <c r="AR531"/>
    </row>
    <row r="532" spans="44:44" x14ac:dyDescent="0.3">
      <c r="AR532"/>
    </row>
    <row r="533" spans="44:44" x14ac:dyDescent="0.3">
      <c r="AR533"/>
    </row>
    <row r="534" spans="44:44" x14ac:dyDescent="0.3">
      <c r="AR534"/>
    </row>
    <row r="535" spans="44:44" x14ac:dyDescent="0.3">
      <c r="AR535"/>
    </row>
    <row r="536" spans="44:44" x14ac:dyDescent="0.3">
      <c r="AR536"/>
    </row>
    <row r="537" spans="44:44" x14ac:dyDescent="0.3">
      <c r="AR537"/>
    </row>
    <row r="538" spans="44:44" x14ac:dyDescent="0.3">
      <c r="AR538"/>
    </row>
    <row r="539" spans="44:44" x14ac:dyDescent="0.3">
      <c r="AR539"/>
    </row>
    <row r="540" spans="44:44" x14ac:dyDescent="0.3">
      <c r="AR540"/>
    </row>
    <row r="541" spans="44:44" x14ac:dyDescent="0.3">
      <c r="AR541"/>
    </row>
    <row r="542" spans="44:44" x14ac:dyDescent="0.3">
      <c r="AR542"/>
    </row>
    <row r="543" spans="44:44" x14ac:dyDescent="0.3">
      <c r="AR543"/>
    </row>
    <row r="544" spans="44:44" x14ac:dyDescent="0.3">
      <c r="AR544"/>
    </row>
    <row r="545" spans="44:44" x14ac:dyDescent="0.3">
      <c r="AR545"/>
    </row>
    <row r="546" spans="44:44" x14ac:dyDescent="0.3">
      <c r="AR546"/>
    </row>
    <row r="547" spans="44:44" x14ac:dyDescent="0.3">
      <c r="AR547"/>
    </row>
    <row r="548" spans="44:44" x14ac:dyDescent="0.3">
      <c r="AR548"/>
    </row>
    <row r="549" spans="44:44" x14ac:dyDescent="0.3">
      <c r="AR549"/>
    </row>
    <row r="550" spans="44:44" x14ac:dyDescent="0.3">
      <c r="AR550"/>
    </row>
    <row r="551" spans="44:44" x14ac:dyDescent="0.3">
      <c r="AR551"/>
    </row>
    <row r="552" spans="44:44" x14ac:dyDescent="0.3">
      <c r="AR552"/>
    </row>
    <row r="553" spans="44:44" x14ac:dyDescent="0.3">
      <c r="AR553"/>
    </row>
    <row r="554" spans="44:44" x14ac:dyDescent="0.3">
      <c r="AR554"/>
    </row>
    <row r="555" spans="44:44" x14ac:dyDescent="0.3">
      <c r="AR555"/>
    </row>
    <row r="556" spans="44:44" x14ac:dyDescent="0.3">
      <c r="AR556"/>
    </row>
    <row r="557" spans="44:44" x14ac:dyDescent="0.3">
      <c r="AR557"/>
    </row>
    <row r="558" spans="44:44" x14ac:dyDescent="0.3">
      <c r="AR558"/>
    </row>
    <row r="559" spans="44:44" x14ac:dyDescent="0.3">
      <c r="AR559"/>
    </row>
    <row r="560" spans="44:44" x14ac:dyDescent="0.3">
      <c r="AR560"/>
    </row>
    <row r="561" spans="44:44" x14ac:dyDescent="0.3">
      <c r="AR561"/>
    </row>
    <row r="562" spans="44:44" x14ac:dyDescent="0.3">
      <c r="AR562"/>
    </row>
    <row r="563" spans="44:44" x14ac:dyDescent="0.3">
      <c r="AR563"/>
    </row>
    <row r="564" spans="44:44" x14ac:dyDescent="0.3">
      <c r="AR564"/>
    </row>
    <row r="565" spans="44:44" x14ac:dyDescent="0.3">
      <c r="AR565"/>
    </row>
    <row r="566" spans="44:44" x14ac:dyDescent="0.3">
      <c r="AR566"/>
    </row>
    <row r="567" spans="44:44" x14ac:dyDescent="0.3">
      <c r="AR567"/>
    </row>
    <row r="568" spans="44:44" x14ac:dyDescent="0.3">
      <c r="AR568"/>
    </row>
    <row r="569" spans="44:44" x14ac:dyDescent="0.3">
      <c r="AR569"/>
    </row>
    <row r="570" spans="44:44" x14ac:dyDescent="0.3">
      <c r="AR570"/>
    </row>
    <row r="571" spans="44:44" x14ac:dyDescent="0.3">
      <c r="AR571"/>
    </row>
    <row r="572" spans="44:44" x14ac:dyDescent="0.3">
      <c r="AR572"/>
    </row>
    <row r="573" spans="44:44" x14ac:dyDescent="0.3">
      <c r="AR573"/>
    </row>
    <row r="574" spans="44:44" x14ac:dyDescent="0.3">
      <c r="AR574"/>
    </row>
    <row r="575" spans="44:44" x14ac:dyDescent="0.3">
      <c r="AR575"/>
    </row>
    <row r="576" spans="44:44" x14ac:dyDescent="0.3">
      <c r="AR576"/>
    </row>
    <row r="577" spans="44:44" x14ac:dyDescent="0.3">
      <c r="AR577"/>
    </row>
    <row r="578" spans="44:44" x14ac:dyDescent="0.3">
      <c r="AR578"/>
    </row>
    <row r="579" spans="44:44" x14ac:dyDescent="0.3">
      <c r="AR579"/>
    </row>
    <row r="580" spans="44:44" x14ac:dyDescent="0.3">
      <c r="AR580"/>
    </row>
    <row r="581" spans="44:44" x14ac:dyDescent="0.3">
      <c r="AR581"/>
    </row>
    <row r="582" spans="44:44" x14ac:dyDescent="0.3">
      <c r="AR582"/>
    </row>
    <row r="583" spans="44:44" x14ac:dyDescent="0.3">
      <c r="AR583"/>
    </row>
    <row r="584" spans="44:44" x14ac:dyDescent="0.3">
      <c r="AR584"/>
    </row>
    <row r="585" spans="44:44" x14ac:dyDescent="0.3">
      <c r="AR585"/>
    </row>
    <row r="586" spans="44:44" x14ac:dyDescent="0.3">
      <c r="AR586"/>
    </row>
    <row r="587" spans="44:44" x14ac:dyDescent="0.3">
      <c r="AR587"/>
    </row>
    <row r="588" spans="44:44" x14ac:dyDescent="0.3">
      <c r="AR588"/>
    </row>
    <row r="589" spans="44:44" x14ac:dyDescent="0.3">
      <c r="AR589"/>
    </row>
    <row r="590" spans="44:44" x14ac:dyDescent="0.3">
      <c r="AR590"/>
    </row>
    <row r="591" spans="44:44" x14ac:dyDescent="0.3">
      <c r="AR591"/>
    </row>
    <row r="592" spans="44:44" x14ac:dyDescent="0.3">
      <c r="AR592"/>
    </row>
    <row r="593" spans="44:44" x14ac:dyDescent="0.3">
      <c r="AR593"/>
    </row>
    <row r="594" spans="44:44" x14ac:dyDescent="0.3">
      <c r="AR594"/>
    </row>
    <row r="595" spans="44:44" x14ac:dyDescent="0.3">
      <c r="AR595"/>
    </row>
    <row r="596" spans="44:44" x14ac:dyDescent="0.3">
      <c r="AR596"/>
    </row>
    <row r="597" spans="44:44" x14ac:dyDescent="0.3">
      <c r="AR597"/>
    </row>
    <row r="598" spans="44:44" x14ac:dyDescent="0.3">
      <c r="AR598"/>
    </row>
    <row r="599" spans="44:44" x14ac:dyDescent="0.3">
      <c r="AR599"/>
    </row>
    <row r="600" spans="44:44" x14ac:dyDescent="0.3">
      <c r="AR600"/>
    </row>
    <row r="601" spans="44:44" x14ac:dyDescent="0.3">
      <c r="AR601"/>
    </row>
    <row r="602" spans="44:44" x14ac:dyDescent="0.3">
      <c r="AR602"/>
    </row>
    <row r="603" spans="44:44" x14ac:dyDescent="0.3">
      <c r="AR603"/>
    </row>
    <row r="604" spans="44:44" x14ac:dyDescent="0.3">
      <c r="AR604"/>
    </row>
    <row r="605" spans="44:44" x14ac:dyDescent="0.3">
      <c r="AR605"/>
    </row>
    <row r="606" spans="44:44" x14ac:dyDescent="0.3">
      <c r="AR606"/>
    </row>
    <row r="607" spans="44:44" x14ac:dyDescent="0.3">
      <c r="AR607"/>
    </row>
    <row r="608" spans="44:44" x14ac:dyDescent="0.3">
      <c r="AR608"/>
    </row>
    <row r="609" spans="44:44" x14ac:dyDescent="0.3">
      <c r="AR609"/>
    </row>
    <row r="610" spans="44:44" x14ac:dyDescent="0.3">
      <c r="AR610"/>
    </row>
    <row r="611" spans="44:44" x14ac:dyDescent="0.3">
      <c r="AR611"/>
    </row>
    <row r="612" spans="44:44" x14ac:dyDescent="0.3">
      <c r="AR612"/>
    </row>
    <row r="613" spans="44:44" x14ac:dyDescent="0.3">
      <c r="AR613"/>
    </row>
    <row r="614" spans="44:44" x14ac:dyDescent="0.3">
      <c r="AR614"/>
    </row>
    <row r="615" spans="44:44" x14ac:dyDescent="0.3">
      <c r="AR615"/>
    </row>
    <row r="616" spans="44:44" x14ac:dyDescent="0.3">
      <c r="AR616"/>
    </row>
    <row r="617" spans="44:44" x14ac:dyDescent="0.3">
      <c r="AR617"/>
    </row>
    <row r="618" spans="44:44" x14ac:dyDescent="0.3">
      <c r="AR618"/>
    </row>
    <row r="619" spans="44:44" x14ac:dyDescent="0.3">
      <c r="AR619"/>
    </row>
    <row r="620" spans="44:44" x14ac:dyDescent="0.3">
      <c r="AR620"/>
    </row>
    <row r="621" spans="44:44" x14ac:dyDescent="0.3">
      <c r="AR621"/>
    </row>
    <row r="622" spans="44:44" x14ac:dyDescent="0.3">
      <c r="AR622"/>
    </row>
    <row r="623" spans="44:44" x14ac:dyDescent="0.3">
      <c r="AR623"/>
    </row>
    <row r="624" spans="44:44" x14ac:dyDescent="0.3">
      <c r="AR624"/>
    </row>
    <row r="625" spans="44:44" x14ac:dyDescent="0.3">
      <c r="AR625"/>
    </row>
    <row r="626" spans="44:44" x14ac:dyDescent="0.3">
      <c r="AR626"/>
    </row>
    <row r="627" spans="44:44" x14ac:dyDescent="0.3">
      <c r="AR627"/>
    </row>
    <row r="628" spans="44:44" x14ac:dyDescent="0.3">
      <c r="AR628"/>
    </row>
    <row r="629" spans="44:44" x14ac:dyDescent="0.3">
      <c r="AR629"/>
    </row>
    <row r="630" spans="44:44" x14ac:dyDescent="0.3">
      <c r="AR630"/>
    </row>
    <row r="631" spans="44:44" x14ac:dyDescent="0.3">
      <c r="AR631"/>
    </row>
    <row r="632" spans="44:44" x14ac:dyDescent="0.3">
      <c r="AR632"/>
    </row>
    <row r="633" spans="44:44" x14ac:dyDescent="0.3">
      <c r="AR633"/>
    </row>
    <row r="634" spans="44:44" x14ac:dyDescent="0.3">
      <c r="AR634"/>
    </row>
    <row r="635" spans="44:44" x14ac:dyDescent="0.3">
      <c r="AR635"/>
    </row>
    <row r="636" spans="44:44" x14ac:dyDescent="0.3">
      <c r="AR636"/>
    </row>
    <row r="637" spans="44:44" x14ac:dyDescent="0.3">
      <c r="AR637"/>
    </row>
    <row r="638" spans="44:44" x14ac:dyDescent="0.3">
      <c r="AR638"/>
    </row>
    <row r="639" spans="44:44" x14ac:dyDescent="0.3">
      <c r="AR639"/>
    </row>
    <row r="640" spans="44:44" x14ac:dyDescent="0.3">
      <c r="AR640"/>
    </row>
    <row r="641" spans="44:44" x14ac:dyDescent="0.3">
      <c r="AR641"/>
    </row>
    <row r="642" spans="44:44" x14ac:dyDescent="0.3">
      <c r="AR642"/>
    </row>
    <row r="643" spans="44:44" x14ac:dyDescent="0.3">
      <c r="AR643"/>
    </row>
    <row r="644" spans="44:44" x14ac:dyDescent="0.3">
      <c r="AR644"/>
    </row>
    <row r="645" spans="44:44" x14ac:dyDescent="0.3">
      <c r="AR645"/>
    </row>
    <row r="646" spans="44:44" x14ac:dyDescent="0.3">
      <c r="AR646"/>
    </row>
    <row r="647" spans="44:44" x14ac:dyDescent="0.3">
      <c r="AR647"/>
    </row>
    <row r="648" spans="44:44" x14ac:dyDescent="0.3">
      <c r="AR648"/>
    </row>
    <row r="649" spans="44:44" x14ac:dyDescent="0.3">
      <c r="AR649"/>
    </row>
    <row r="650" spans="44:44" x14ac:dyDescent="0.3">
      <c r="AR650"/>
    </row>
    <row r="651" spans="44:44" x14ac:dyDescent="0.3">
      <c r="AR651"/>
    </row>
    <row r="652" spans="44:44" x14ac:dyDescent="0.3">
      <c r="AR652"/>
    </row>
    <row r="653" spans="44:44" x14ac:dyDescent="0.3">
      <c r="AR653"/>
    </row>
    <row r="654" spans="44:44" x14ac:dyDescent="0.3">
      <c r="AR654"/>
    </row>
    <row r="655" spans="44:44" x14ac:dyDescent="0.3">
      <c r="AR655"/>
    </row>
    <row r="656" spans="44:44" x14ac:dyDescent="0.3">
      <c r="AR656"/>
    </row>
    <row r="657" spans="44:44" x14ac:dyDescent="0.3">
      <c r="AR6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DC18-21D3-40F4-8F68-CA02F1F102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Ezendam, Tessa</dc:creator>
  <cp:lastModifiedBy>Ezendam, Tessa</cp:lastModifiedBy>
  <dcterms:created xsi:type="dcterms:W3CDTF">2015-06-05T18:17:20Z</dcterms:created>
  <dcterms:modified xsi:type="dcterms:W3CDTF">2024-10-14T15:00:41Z</dcterms:modified>
</cp:coreProperties>
</file>